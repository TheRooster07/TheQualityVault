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NIB" sheetId="2" state="visible" r:id="rId4"/>
    <sheet name="LIB" sheetId="3" state="visible" r:id="rId5"/>
    <sheet name="SI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Nominal target value</t>
        </r>
      </text>
    </comment>
    <comment ref="B4" authorId="0">
      <text>
        <r>
          <rPr>
            <sz val="10"/>
            <rFont val="Arial"/>
            <family val="2"/>
          </rPr>
          <t xml:space="preserve">Half-width of the specification</t>
        </r>
      </text>
    </comment>
    <comment ref="B5" authorId="0">
      <text>
        <r>
          <rPr>
            <sz val="10"/>
            <rFont val="Arial"/>
            <family val="2"/>
          </rPr>
          <t xml:space="preserve">Cost per unit at the spec limit (illustrative)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Minimum acceptable value; loss = A₀ here</t>
        </r>
      </text>
    </comment>
    <comment ref="B5" authorId="0">
      <text>
        <r>
          <rPr>
            <sz val="10"/>
            <rFont val="Arial"/>
            <family val="2"/>
          </rPr>
          <t xml:space="preserve">Cost per unit at the minimum (illustrative)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Maximum acceptable value; loss = A₀ here</t>
        </r>
      </text>
    </comment>
    <comment ref="B5" authorId="0">
      <text>
        <r>
          <rPr>
            <sz val="10"/>
            <rFont val="Arial"/>
            <family val="2"/>
          </rPr>
          <t xml:space="preserve">Cost per unit at the maximum (illustrative)</t>
        </r>
      </text>
    </comment>
  </commentList>
</comments>
</file>

<file path=xl/sharedStrings.xml><?xml version="1.0" encoding="utf-8"?>
<sst xmlns="http://schemas.openxmlformats.org/spreadsheetml/2006/main" count="121" uniqueCount="73">
  <si>
    <t xml:space="preserve">Taguchi Loss Function Calculator</t>
  </si>
  <si>
    <t xml:space="preserve">TheQualityVault.com · companion to taguchi_loss.py and taguchi_loss.R (identical results)</t>
  </si>
  <si>
    <t xml:space="preserve">How to use</t>
  </si>
  <si>
    <t xml:space="preserve">1. Pick a sheet</t>
  </si>
  <si>
    <t xml:space="preserve">NIB = a target value is best · LIB = larger is better · SIB = smaller is better.</t>
  </si>
  <si>
    <t xml:space="preserve">2. Enter inputs</t>
  </si>
  <si>
    <t xml:space="preserve">Change the yellow cells (blue text): target / limit, tolerance, A₀ and a single value y.</t>
  </si>
  <si>
    <t xml:space="preserve">3. Paste data</t>
  </si>
  <si>
    <t xml:space="preserve">Paste up to 500 measurements into column E (yellow) starting at E4. Clear the example first.</t>
  </si>
  <si>
    <t xml:space="preserve">4. Read results</t>
  </si>
  <si>
    <t xml:space="preserve">Loss for y, average loss per unit E[L], batch total and status update automatically.</t>
  </si>
  <si>
    <t xml:space="preserve">Formulas</t>
  </si>
  <si>
    <t xml:space="preserve">Nominal-Is-Best</t>
  </si>
  <si>
    <t xml:space="preserve">L(y) = k (y − m)²      k = A₀ / Δ²</t>
  </si>
  <si>
    <t xml:space="preserve">Larger-Is-Better</t>
  </si>
  <si>
    <t xml:space="preserve">L(y) = k / y²          k = A₀ · m²</t>
  </si>
  <si>
    <t xml:space="preserve">Smaller-Is-Better</t>
  </si>
  <si>
    <t xml:space="preserve">L(y) = k · y²          k = A₀ / m²</t>
  </si>
  <si>
    <t xml:space="preserve">NIB split</t>
  </si>
  <si>
    <t xml:space="preserve">E[L] = k·σ² (spread) + k·(ȳ − m)² (off-target). σ² is the population variance.</t>
  </si>
  <si>
    <t xml:space="preserve">Definitions</t>
  </si>
  <si>
    <t xml:space="preserve">A₀</t>
  </si>
  <si>
    <t xml:space="preserve">Cost per unit when output reaches the tolerance / reference limit (rework, scrap, warranty, give-away).</t>
  </si>
  <si>
    <t xml:space="preserve">Δ</t>
  </si>
  <si>
    <t xml:space="preserve">Tolerance half-width for NIB (spec is m ± Δ).</t>
  </si>
  <si>
    <t xml:space="preserve">m</t>
  </si>
  <si>
    <t xml:space="preserve">Target (NIB), minimum acceptable value (LIB) or maximum acceptable value (SIB).</t>
  </si>
  <si>
    <t xml:space="preserve">Status rules</t>
  </si>
  <si>
    <t xml:space="preserve">CRITICAL if E[L] &gt; A₀ · CAUTION if E[L] &gt; 50% of A₀ · plus a mean check per type.</t>
  </si>
  <si>
    <t xml:space="preserve">Example data</t>
  </si>
  <si>
    <t xml:space="preserve">30 units from example_data.csv: fill weight (g), bond strength (MPa), leak rate (ccm). Example inputs (500 ± 10 g at $2.50; ≥ 80 MPa at $400; ≤ 5 ccm at $300) are illustrative, not from a real line.</t>
  </si>
  <si>
    <t xml:space="preserve">Colour key</t>
  </si>
  <si>
    <t xml:space="preserve">Yellow fill / blue text = input · black = formula</t>
  </si>
  <si>
    <t xml:space="preserve">Nominal-Is-Best — fill weight example</t>
  </si>
  <si>
    <t xml:space="preserve">▼ paste data here (up to 500 rows)</t>
  </si>
  <si>
    <t xml:space="preserve">Loss curve (auto)</t>
  </si>
  <si>
    <t xml:space="preserve">Target m</t>
  </si>
  <si>
    <t xml:space="preserve">#</t>
  </si>
  <si>
    <t xml:space="preserve">y  fill weight (g)</t>
  </si>
  <si>
    <t xml:space="preserve">L(y)  $</t>
  </si>
  <si>
    <t xml:space="preserve">y</t>
  </si>
  <si>
    <t xml:space="preserve">L(y)</t>
  </si>
  <si>
    <t xml:space="preserve">Tolerance Δ  (spec = m ± Δ)</t>
  </si>
  <si>
    <t xml:space="preserve">A₀  loss at tolerance ($)</t>
  </si>
  <si>
    <t xml:space="preserve">Loss constant k</t>
  </si>
  <si>
    <t xml:space="preserve">Single value y</t>
  </si>
  <si>
    <t xml:space="preserve">L(y)  loss for this unit</t>
  </si>
  <si>
    <t xml:space="preserve">L(y) / A₀</t>
  </si>
  <si>
    <t xml:space="preserve">Status</t>
  </si>
  <si>
    <t xml:space="preserve">Batch summary</t>
  </si>
  <si>
    <t xml:space="preserve">n</t>
  </si>
  <si>
    <t xml:space="preserve">Mean ȳ</t>
  </si>
  <si>
    <t xml:space="preserve">Std dev s</t>
  </si>
  <si>
    <t xml:space="preserve">Min</t>
  </si>
  <si>
    <t xml:space="preserve">Max</t>
  </si>
  <si>
    <t xml:space="preserve">E[L]  average loss per unit</t>
  </si>
  <si>
    <t xml:space="preserve">Total batch loss</t>
  </si>
  <si>
    <t xml:space="preserve">E[L] / A₀</t>
  </si>
  <si>
    <t xml:space="preserve">  Loss from spread  k·σ²</t>
  </si>
  <si>
    <t xml:space="preserve">  Loss from off-target  k·(ȳ−m)²</t>
  </si>
  <si>
    <t xml:space="preserve">  Share from spread</t>
  </si>
  <si>
    <t xml:space="preserve">  Advice</t>
  </si>
  <si>
    <t xml:space="preserve">Batch status</t>
  </si>
  <si>
    <t xml:space="preserve">Units beyond limit</t>
  </si>
  <si>
    <t xml:space="preserve">Larger-Is-Better — bond strength example</t>
  </si>
  <si>
    <t xml:space="preserve">Reference (minimum) m</t>
  </si>
  <si>
    <t xml:space="preserve">y  bond strength (MPa)</t>
  </si>
  <si>
    <t xml:space="preserve">(not used)</t>
  </si>
  <si>
    <t xml:space="preserve">A₀  loss at reference ($)</t>
  </si>
  <si>
    <t xml:space="preserve">Smaller-Is-Better — leak rate example</t>
  </si>
  <si>
    <t xml:space="preserve">Boundary (maximum) m</t>
  </si>
  <si>
    <t xml:space="preserve">y  leak rate (ccm)</t>
  </si>
  <si>
    <t xml:space="preserve">A₀  loss at boundary ($)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</si>
</sst>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\$#,##0.0000"/>
    <numFmt numFmtId="167" formatCode="\$#,##0.00"/>
    <numFmt numFmtId="168" formatCode="0.000000"/>
    <numFmt numFmtId="169" formatCode="0.0%"/>
    <numFmt numFmtId="170" formatCode="0"/>
    <numFmt numFmtId="171" formatCode="0.0000"/>
    <numFmt numFmtId="172" formatCode="0%"/>
    <numFmt numFmtId="173" formatCode="General"/>
    <numFmt numFmtId="174" formatCode="0.##"/>
    <numFmt numFmtId="175" formatCode="\$#,##0"/>
    <numFmt numFmtId="176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F0EC"/>
      </patternFill>
    </fill>
    <fill>
      <patternFill patternType="solid">
        <fgColor rgb="FF1F2A44"/>
        <bgColor rgb="FF003366"/>
      </patternFill>
    </fill>
    <fill>
      <patternFill patternType="solid">
        <fgColor rgb="FFE2F0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2F0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C0392B"/>
      <rgbColor rgb="FF993366"/>
      <rgbColor rgb="FF1F4E7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Nominal-Is-Best loss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"L(y)"</c:f>
              <c:strCache>
                <c:ptCount val="1"/>
                <c:pt idx="0">
                  <c:v>L(y)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NIB!$H$4:$H$44</c:f>
              <c:numCache>
                <c:formatCode>0.00</c:formatCode>
                <c:ptCount val="41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483</c:v>
                </c:pt>
                <c:pt idx="4">
                  <c:v>484</c:v>
                </c:pt>
                <c:pt idx="5">
                  <c:v>485</c:v>
                </c:pt>
                <c:pt idx="6">
                  <c:v>486</c:v>
                </c:pt>
                <c:pt idx="7">
                  <c:v>487</c:v>
                </c:pt>
                <c:pt idx="8">
                  <c:v>488</c:v>
                </c:pt>
                <c:pt idx="9">
                  <c:v>489</c:v>
                </c:pt>
                <c:pt idx="10">
                  <c:v>490</c:v>
                </c:pt>
                <c:pt idx="11">
                  <c:v>491</c:v>
                </c:pt>
                <c:pt idx="12">
                  <c:v>492</c:v>
                </c:pt>
                <c:pt idx="13">
                  <c:v>493</c:v>
                </c:pt>
                <c:pt idx="14">
                  <c:v>494</c:v>
                </c:pt>
                <c:pt idx="15">
                  <c:v>495</c:v>
                </c:pt>
                <c:pt idx="16">
                  <c:v>496</c:v>
                </c:pt>
                <c:pt idx="17">
                  <c:v>497</c:v>
                </c:pt>
                <c:pt idx="18">
                  <c:v>498</c:v>
                </c:pt>
                <c:pt idx="19">
                  <c:v>499</c:v>
                </c:pt>
                <c:pt idx="20">
                  <c:v>500</c:v>
                </c:pt>
                <c:pt idx="21">
                  <c:v>501</c:v>
                </c:pt>
                <c:pt idx="22">
                  <c:v>502</c:v>
                </c:pt>
                <c:pt idx="23">
                  <c:v>503</c:v>
                </c:pt>
                <c:pt idx="24">
                  <c:v>504</c:v>
                </c:pt>
                <c:pt idx="25">
                  <c:v>505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513</c:v>
                </c:pt>
                <c:pt idx="34">
                  <c:v>514</c:v>
                </c:pt>
                <c:pt idx="35">
                  <c:v>515</c:v>
                </c:pt>
                <c:pt idx="36">
                  <c:v>516</c:v>
                </c:pt>
                <c:pt idx="37">
                  <c:v>517</c:v>
                </c:pt>
                <c:pt idx="38">
                  <c:v>518</c:v>
                </c:pt>
                <c:pt idx="39">
                  <c:v>519</c:v>
                </c:pt>
                <c:pt idx="40">
                  <c:v>520</c:v>
                </c:pt>
              </c:numCache>
            </c:numRef>
          </c:xVal>
          <c:yVal>
            <c:numRef>
              <c:f>NIB!$I$4:$I$44</c:f>
              <c:numCache>
                <c:formatCode>\$#,##0.00</c:formatCode>
                <c:ptCount val="41"/>
                <c:pt idx="0">
                  <c:v>10</c:v>
                </c:pt>
                <c:pt idx="1">
                  <c:v>9.025</c:v>
                </c:pt>
                <c:pt idx="2">
                  <c:v>8.1</c:v>
                </c:pt>
                <c:pt idx="3">
                  <c:v>7.225</c:v>
                </c:pt>
                <c:pt idx="4">
                  <c:v>6.4</c:v>
                </c:pt>
                <c:pt idx="5">
                  <c:v>5.625</c:v>
                </c:pt>
                <c:pt idx="6">
                  <c:v>4.9</c:v>
                </c:pt>
                <c:pt idx="7">
                  <c:v>4.225</c:v>
                </c:pt>
                <c:pt idx="8">
                  <c:v>3.6</c:v>
                </c:pt>
                <c:pt idx="9">
                  <c:v>3.025</c:v>
                </c:pt>
                <c:pt idx="10">
                  <c:v>2.5</c:v>
                </c:pt>
                <c:pt idx="11">
                  <c:v>2.025</c:v>
                </c:pt>
                <c:pt idx="12">
                  <c:v>1.6</c:v>
                </c:pt>
                <c:pt idx="13">
                  <c:v>1.225</c:v>
                </c:pt>
                <c:pt idx="14">
                  <c:v>0.9</c:v>
                </c:pt>
                <c:pt idx="15">
                  <c:v>0.625</c:v>
                </c:pt>
                <c:pt idx="16">
                  <c:v>0.4</c:v>
                </c:pt>
                <c:pt idx="17">
                  <c:v>0.225</c:v>
                </c:pt>
                <c:pt idx="18">
                  <c:v>0.1</c:v>
                </c:pt>
                <c:pt idx="19">
                  <c:v>0.025</c:v>
                </c:pt>
                <c:pt idx="20">
                  <c:v>0</c:v>
                </c:pt>
                <c:pt idx="21">
                  <c:v>0.025</c:v>
                </c:pt>
                <c:pt idx="22">
                  <c:v>0.1</c:v>
                </c:pt>
                <c:pt idx="23">
                  <c:v>0.225</c:v>
                </c:pt>
                <c:pt idx="24">
                  <c:v>0.4</c:v>
                </c:pt>
                <c:pt idx="25">
                  <c:v>0.625</c:v>
                </c:pt>
                <c:pt idx="26">
                  <c:v>0.9</c:v>
                </c:pt>
                <c:pt idx="27">
                  <c:v>1.225</c:v>
                </c:pt>
                <c:pt idx="28">
                  <c:v>1.6</c:v>
                </c:pt>
                <c:pt idx="29">
                  <c:v>2.025</c:v>
                </c:pt>
                <c:pt idx="30">
                  <c:v>2.5</c:v>
                </c:pt>
                <c:pt idx="31">
                  <c:v>3.025</c:v>
                </c:pt>
                <c:pt idx="32">
                  <c:v>3.6</c:v>
                </c:pt>
                <c:pt idx="33">
                  <c:v>4.225</c:v>
                </c:pt>
                <c:pt idx="34">
                  <c:v>4.9</c:v>
                </c:pt>
                <c:pt idx="35">
                  <c:v>5.625</c:v>
                </c:pt>
                <c:pt idx="36">
                  <c:v>6.4</c:v>
                </c:pt>
                <c:pt idx="37">
                  <c:v>7.225</c:v>
                </c:pt>
                <c:pt idx="38">
                  <c:v>8.1</c:v>
                </c:pt>
                <c:pt idx="39">
                  <c:v>9.025</c:v>
                </c:pt>
                <c:pt idx="40">
                  <c:v>10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"A₀ limit"</c:f>
              <c:strCache>
                <c:ptCount val="1"/>
                <c:pt idx="0">
                  <c:v>A₀ limit</c:v>
                </c:pt>
              </c:strCache>
            </c:strRef>
          </c:tx>
          <c:spPr>
            <a:solidFill>
              <a:srgbClr val="c0392b"/>
            </a:solidFill>
            <a:ln w="4752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NIB!$H$4:$H$44</c:f>
              <c:numCache>
                <c:formatCode>0.00</c:formatCode>
                <c:ptCount val="41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483</c:v>
                </c:pt>
                <c:pt idx="4">
                  <c:v>484</c:v>
                </c:pt>
                <c:pt idx="5">
                  <c:v>485</c:v>
                </c:pt>
                <c:pt idx="6">
                  <c:v>486</c:v>
                </c:pt>
                <c:pt idx="7">
                  <c:v>487</c:v>
                </c:pt>
                <c:pt idx="8">
                  <c:v>488</c:v>
                </c:pt>
                <c:pt idx="9">
                  <c:v>489</c:v>
                </c:pt>
                <c:pt idx="10">
                  <c:v>490</c:v>
                </c:pt>
                <c:pt idx="11">
                  <c:v>491</c:v>
                </c:pt>
                <c:pt idx="12">
                  <c:v>492</c:v>
                </c:pt>
                <c:pt idx="13">
                  <c:v>493</c:v>
                </c:pt>
                <c:pt idx="14">
                  <c:v>494</c:v>
                </c:pt>
                <c:pt idx="15">
                  <c:v>495</c:v>
                </c:pt>
                <c:pt idx="16">
                  <c:v>496</c:v>
                </c:pt>
                <c:pt idx="17">
                  <c:v>497</c:v>
                </c:pt>
                <c:pt idx="18">
                  <c:v>498</c:v>
                </c:pt>
                <c:pt idx="19">
                  <c:v>499</c:v>
                </c:pt>
                <c:pt idx="20">
                  <c:v>500</c:v>
                </c:pt>
                <c:pt idx="21">
                  <c:v>501</c:v>
                </c:pt>
                <c:pt idx="22">
                  <c:v>502</c:v>
                </c:pt>
                <c:pt idx="23">
                  <c:v>503</c:v>
                </c:pt>
                <c:pt idx="24">
                  <c:v>504</c:v>
                </c:pt>
                <c:pt idx="25">
                  <c:v>505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513</c:v>
                </c:pt>
                <c:pt idx="34">
                  <c:v>514</c:v>
                </c:pt>
                <c:pt idx="35">
                  <c:v>515</c:v>
                </c:pt>
                <c:pt idx="36">
                  <c:v>516</c:v>
                </c:pt>
                <c:pt idx="37">
                  <c:v>517</c:v>
                </c:pt>
                <c:pt idx="38">
                  <c:v>518</c:v>
                </c:pt>
                <c:pt idx="39">
                  <c:v>519</c:v>
                </c:pt>
                <c:pt idx="40">
                  <c:v>520</c:v>
                </c:pt>
              </c:numCache>
            </c:numRef>
          </c:xVal>
          <c:yVal>
            <c:numRef>
              <c:f>NIB!$J$4:$J$44</c:f>
              <c:numCache>
                <c:formatCode>\$#,##0.00</c:formatCode>
                <c:ptCount val="4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</c:numCache>
            </c:numRef>
          </c:yVal>
          <c:smooth val="1"/>
        </c:ser>
        <c:axId val="21664070"/>
        <c:axId val="9119380"/>
      </c:scatterChart>
      <c:valAx>
        <c:axId val="216640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Process output 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9380"/>
        <c:crosses val="autoZero"/>
        <c:crossBetween val="midCat"/>
      </c:valAx>
      <c:valAx>
        <c:axId val="9119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 L(y)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640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Larger-Is-Better loss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"L(y)"</c:f>
              <c:strCache>
                <c:ptCount val="1"/>
                <c:pt idx="0">
                  <c:v>L(y)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LIB!$H$4:$H$44</c:f>
              <c:numCache>
                <c:formatCode>0.00</c:formatCode>
                <c:ptCount val="41"/>
                <c:pt idx="0">
                  <c:v>40</c:v>
                </c:pt>
                <c:pt idx="1">
                  <c:v>44</c:v>
                </c:pt>
                <c:pt idx="2">
                  <c:v>48</c:v>
                </c:pt>
                <c:pt idx="3">
                  <c:v>52</c:v>
                </c:pt>
                <c:pt idx="4">
                  <c:v>56</c:v>
                </c:pt>
                <c:pt idx="5">
                  <c:v>60</c:v>
                </c:pt>
                <c:pt idx="6">
                  <c:v>64</c:v>
                </c:pt>
                <c:pt idx="7">
                  <c:v>68</c:v>
                </c:pt>
                <c:pt idx="8">
                  <c:v>72</c:v>
                </c:pt>
                <c:pt idx="9">
                  <c:v>76</c:v>
                </c:pt>
                <c:pt idx="10">
                  <c:v>80</c:v>
                </c:pt>
                <c:pt idx="11">
                  <c:v>84</c:v>
                </c:pt>
                <c:pt idx="12">
                  <c:v>88</c:v>
                </c:pt>
                <c:pt idx="13">
                  <c:v>92</c:v>
                </c:pt>
                <c:pt idx="14">
                  <c:v>96</c:v>
                </c:pt>
                <c:pt idx="15">
                  <c:v>100</c:v>
                </c:pt>
                <c:pt idx="16">
                  <c:v>104</c:v>
                </c:pt>
                <c:pt idx="17">
                  <c:v>108</c:v>
                </c:pt>
                <c:pt idx="18">
                  <c:v>112</c:v>
                </c:pt>
                <c:pt idx="19">
                  <c:v>116</c:v>
                </c:pt>
                <c:pt idx="20">
                  <c:v>120</c:v>
                </c:pt>
                <c:pt idx="21">
                  <c:v>124</c:v>
                </c:pt>
                <c:pt idx="22">
                  <c:v>128</c:v>
                </c:pt>
                <c:pt idx="23">
                  <c:v>132</c:v>
                </c:pt>
                <c:pt idx="24">
                  <c:v>136</c:v>
                </c:pt>
                <c:pt idx="25">
                  <c:v>140</c:v>
                </c:pt>
                <c:pt idx="26">
                  <c:v>144</c:v>
                </c:pt>
                <c:pt idx="27">
                  <c:v>148</c:v>
                </c:pt>
                <c:pt idx="28">
                  <c:v>152</c:v>
                </c:pt>
                <c:pt idx="29">
                  <c:v>156</c:v>
                </c:pt>
                <c:pt idx="30">
                  <c:v>160</c:v>
                </c:pt>
                <c:pt idx="31">
                  <c:v>164</c:v>
                </c:pt>
                <c:pt idx="32">
                  <c:v>168</c:v>
                </c:pt>
                <c:pt idx="33">
                  <c:v>172</c:v>
                </c:pt>
                <c:pt idx="34">
                  <c:v>176</c:v>
                </c:pt>
                <c:pt idx="35">
                  <c:v>180</c:v>
                </c:pt>
                <c:pt idx="36">
                  <c:v>184</c:v>
                </c:pt>
                <c:pt idx="37">
                  <c:v>188</c:v>
                </c:pt>
                <c:pt idx="38">
                  <c:v>192</c:v>
                </c:pt>
                <c:pt idx="39">
                  <c:v>196</c:v>
                </c:pt>
                <c:pt idx="40">
                  <c:v>200</c:v>
                </c:pt>
              </c:numCache>
            </c:numRef>
          </c:xVal>
          <c:yVal>
            <c:numRef>
              <c:f>LIB!$I$4:$I$44</c:f>
              <c:numCache>
                <c:formatCode>\$#,##0.00</c:formatCode>
                <c:ptCount val="41"/>
                <c:pt idx="0">
                  <c:v>1600</c:v>
                </c:pt>
                <c:pt idx="1">
                  <c:v>1322.31404958678</c:v>
                </c:pt>
                <c:pt idx="2">
                  <c:v>1111.11111111111</c:v>
                </c:pt>
                <c:pt idx="3">
                  <c:v>946.745562130178</c:v>
                </c:pt>
                <c:pt idx="4">
                  <c:v>816.326530612245</c:v>
                </c:pt>
                <c:pt idx="5">
                  <c:v>711.111111111111</c:v>
                </c:pt>
                <c:pt idx="6">
                  <c:v>625</c:v>
                </c:pt>
                <c:pt idx="7">
                  <c:v>553.63321799308</c:v>
                </c:pt>
                <c:pt idx="8">
                  <c:v>493.827160493827</c:v>
                </c:pt>
                <c:pt idx="9">
                  <c:v>443.213296398892</c:v>
                </c:pt>
                <c:pt idx="10">
                  <c:v>400</c:v>
                </c:pt>
                <c:pt idx="11">
                  <c:v>362.81179138322</c:v>
                </c:pt>
                <c:pt idx="12">
                  <c:v>330.578512396694</c:v>
                </c:pt>
                <c:pt idx="13">
                  <c:v>302.457466918715</c:v>
                </c:pt>
                <c:pt idx="14">
                  <c:v>277.777777777778</c:v>
                </c:pt>
                <c:pt idx="15">
                  <c:v>256</c:v>
                </c:pt>
                <c:pt idx="16">
                  <c:v>236.686390532544</c:v>
                </c:pt>
                <c:pt idx="17">
                  <c:v>219.478737997257</c:v>
                </c:pt>
                <c:pt idx="18">
                  <c:v>204.081632653061</c:v>
                </c:pt>
                <c:pt idx="19">
                  <c:v>190.249702734839</c:v>
                </c:pt>
                <c:pt idx="20">
                  <c:v>177.777777777778</c:v>
                </c:pt>
                <c:pt idx="21">
                  <c:v>166.493236212279</c:v>
                </c:pt>
                <c:pt idx="22">
                  <c:v>156.25</c:v>
                </c:pt>
                <c:pt idx="23">
                  <c:v>146.92378328742</c:v>
                </c:pt>
                <c:pt idx="24">
                  <c:v>138.40830449827</c:v>
                </c:pt>
                <c:pt idx="25">
                  <c:v>130.612244897959</c:v>
                </c:pt>
                <c:pt idx="26">
                  <c:v>123.456790123457</c:v>
                </c:pt>
                <c:pt idx="27">
                  <c:v>116.873630387144</c:v>
                </c:pt>
                <c:pt idx="28">
                  <c:v>110.803324099723</c:v>
                </c:pt>
                <c:pt idx="29">
                  <c:v>105.193951347798</c:v>
                </c:pt>
                <c:pt idx="30">
                  <c:v>100</c:v>
                </c:pt>
                <c:pt idx="31">
                  <c:v>95.1814396192742</c:v>
                </c:pt>
                <c:pt idx="32">
                  <c:v>90.702947845805</c:v>
                </c:pt>
                <c:pt idx="33">
                  <c:v>86.5332612222823</c:v>
                </c:pt>
                <c:pt idx="34">
                  <c:v>82.6446280991736</c:v>
                </c:pt>
                <c:pt idx="35">
                  <c:v>79.0123456790123</c:v>
                </c:pt>
                <c:pt idx="36">
                  <c:v>75.6143667296786</c:v>
                </c:pt>
                <c:pt idx="37">
                  <c:v>72.4309642372114</c:v>
                </c:pt>
                <c:pt idx="38">
                  <c:v>69.4444444444444</c:v>
                </c:pt>
                <c:pt idx="39">
                  <c:v>66.6389004581424</c:v>
                </c:pt>
                <c:pt idx="40">
                  <c:v>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"A₀ limit"</c:f>
              <c:strCache>
                <c:ptCount val="1"/>
                <c:pt idx="0">
                  <c:v>A₀ limit</c:v>
                </c:pt>
              </c:strCache>
            </c:strRef>
          </c:tx>
          <c:spPr>
            <a:solidFill>
              <a:srgbClr val="c0392b"/>
            </a:solidFill>
            <a:ln w="4752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LIB!$H$4:$H$44</c:f>
              <c:numCache>
                <c:formatCode>0.00</c:formatCode>
                <c:ptCount val="41"/>
                <c:pt idx="0">
                  <c:v>40</c:v>
                </c:pt>
                <c:pt idx="1">
                  <c:v>44</c:v>
                </c:pt>
                <c:pt idx="2">
                  <c:v>48</c:v>
                </c:pt>
                <c:pt idx="3">
                  <c:v>52</c:v>
                </c:pt>
                <c:pt idx="4">
                  <c:v>56</c:v>
                </c:pt>
                <c:pt idx="5">
                  <c:v>60</c:v>
                </c:pt>
                <c:pt idx="6">
                  <c:v>64</c:v>
                </c:pt>
                <c:pt idx="7">
                  <c:v>68</c:v>
                </c:pt>
                <c:pt idx="8">
                  <c:v>72</c:v>
                </c:pt>
                <c:pt idx="9">
                  <c:v>76</c:v>
                </c:pt>
                <c:pt idx="10">
                  <c:v>80</c:v>
                </c:pt>
                <c:pt idx="11">
                  <c:v>84</c:v>
                </c:pt>
                <c:pt idx="12">
                  <c:v>88</c:v>
                </c:pt>
                <c:pt idx="13">
                  <c:v>92</c:v>
                </c:pt>
                <c:pt idx="14">
                  <c:v>96</c:v>
                </c:pt>
                <c:pt idx="15">
                  <c:v>100</c:v>
                </c:pt>
                <c:pt idx="16">
                  <c:v>104</c:v>
                </c:pt>
                <c:pt idx="17">
                  <c:v>108</c:v>
                </c:pt>
                <c:pt idx="18">
                  <c:v>112</c:v>
                </c:pt>
                <c:pt idx="19">
                  <c:v>116</c:v>
                </c:pt>
                <c:pt idx="20">
                  <c:v>120</c:v>
                </c:pt>
                <c:pt idx="21">
                  <c:v>124</c:v>
                </c:pt>
                <c:pt idx="22">
                  <c:v>128</c:v>
                </c:pt>
                <c:pt idx="23">
                  <c:v>132</c:v>
                </c:pt>
                <c:pt idx="24">
                  <c:v>136</c:v>
                </c:pt>
                <c:pt idx="25">
                  <c:v>140</c:v>
                </c:pt>
                <c:pt idx="26">
                  <c:v>144</c:v>
                </c:pt>
                <c:pt idx="27">
                  <c:v>148</c:v>
                </c:pt>
                <c:pt idx="28">
                  <c:v>152</c:v>
                </c:pt>
                <c:pt idx="29">
                  <c:v>156</c:v>
                </c:pt>
                <c:pt idx="30">
                  <c:v>160</c:v>
                </c:pt>
                <c:pt idx="31">
                  <c:v>164</c:v>
                </c:pt>
                <c:pt idx="32">
                  <c:v>168</c:v>
                </c:pt>
                <c:pt idx="33">
                  <c:v>172</c:v>
                </c:pt>
                <c:pt idx="34">
                  <c:v>176</c:v>
                </c:pt>
                <c:pt idx="35">
                  <c:v>180</c:v>
                </c:pt>
                <c:pt idx="36">
                  <c:v>184</c:v>
                </c:pt>
                <c:pt idx="37">
                  <c:v>188</c:v>
                </c:pt>
                <c:pt idx="38">
                  <c:v>192</c:v>
                </c:pt>
                <c:pt idx="39">
                  <c:v>196</c:v>
                </c:pt>
                <c:pt idx="40">
                  <c:v>200</c:v>
                </c:pt>
              </c:numCache>
            </c:numRef>
          </c:xVal>
          <c:yVal>
            <c:numRef>
              <c:f>LIB!$J$4:$J$44</c:f>
              <c:numCache>
                <c:formatCode>\$#,##0.00</c:formatCode>
                <c:ptCount val="41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400</c:v>
                </c:pt>
                <c:pt idx="40">
                  <c:v>400</c:v>
                </c:pt>
              </c:numCache>
            </c:numRef>
          </c:yVal>
          <c:smooth val="1"/>
        </c:ser>
        <c:axId val="65252604"/>
        <c:axId val="15219612"/>
      </c:scatterChart>
      <c:valAx>
        <c:axId val="652526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Process output 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19612"/>
        <c:crosses val="autoZero"/>
        <c:crossBetween val="midCat"/>
      </c:valAx>
      <c:valAx>
        <c:axId val="15219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 L(y)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526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Smaller-Is-Better loss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"L(y)"</c:f>
              <c:strCache>
                <c:ptCount val="1"/>
                <c:pt idx="0">
                  <c:v>L(y)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SIB!$H$4:$H$44</c:f>
              <c:numCache>
                <c:formatCode>0.00</c:formatCode>
                <c:ptCount val="41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6.5625</c:v>
                </c:pt>
                <c:pt idx="36">
                  <c:v>6.75</c:v>
                </c:pt>
                <c:pt idx="37">
                  <c:v>6.9375</c:v>
                </c:pt>
                <c:pt idx="38">
                  <c:v>7.125</c:v>
                </c:pt>
                <c:pt idx="39">
                  <c:v>7.3125</c:v>
                </c:pt>
                <c:pt idx="40">
                  <c:v>7.5</c:v>
                </c:pt>
              </c:numCache>
            </c:numRef>
          </c:xVal>
          <c:yVal>
            <c:numRef>
              <c:f>SIB!$I$4:$I$44</c:f>
              <c:numCache>
                <c:formatCode>\$#,##0.00</c:formatCode>
                <c:ptCount val="41"/>
                <c:pt idx="0">
                  <c:v>0</c:v>
                </c:pt>
                <c:pt idx="1">
                  <c:v>0.421875</c:v>
                </c:pt>
                <c:pt idx="2">
                  <c:v>1.6875</c:v>
                </c:pt>
                <c:pt idx="3">
                  <c:v>3.796875</c:v>
                </c:pt>
                <c:pt idx="4">
                  <c:v>6.75</c:v>
                </c:pt>
                <c:pt idx="5">
                  <c:v>10.546875</c:v>
                </c:pt>
                <c:pt idx="6">
                  <c:v>15.1875</c:v>
                </c:pt>
                <c:pt idx="7">
                  <c:v>20.671875</c:v>
                </c:pt>
                <c:pt idx="8">
                  <c:v>27</c:v>
                </c:pt>
                <c:pt idx="9">
                  <c:v>34.171875</c:v>
                </c:pt>
                <c:pt idx="10">
                  <c:v>42.1875</c:v>
                </c:pt>
                <c:pt idx="11">
                  <c:v>51.046875</c:v>
                </c:pt>
                <c:pt idx="12">
                  <c:v>60.75</c:v>
                </c:pt>
                <c:pt idx="13">
                  <c:v>71.296875</c:v>
                </c:pt>
                <c:pt idx="14">
                  <c:v>82.6875</c:v>
                </c:pt>
                <c:pt idx="15">
                  <c:v>94.921875</c:v>
                </c:pt>
                <c:pt idx="16">
                  <c:v>108</c:v>
                </c:pt>
                <c:pt idx="17">
                  <c:v>121.921875</c:v>
                </c:pt>
                <c:pt idx="18">
                  <c:v>136.6875</c:v>
                </c:pt>
                <c:pt idx="19">
                  <c:v>152.296875</c:v>
                </c:pt>
                <c:pt idx="20">
                  <c:v>168.75</c:v>
                </c:pt>
                <c:pt idx="21">
                  <c:v>186.046875</c:v>
                </c:pt>
                <c:pt idx="22">
                  <c:v>204.1875</c:v>
                </c:pt>
                <c:pt idx="23">
                  <c:v>223.171875</c:v>
                </c:pt>
                <c:pt idx="24">
                  <c:v>243</c:v>
                </c:pt>
                <c:pt idx="25">
                  <c:v>263.671875</c:v>
                </c:pt>
                <c:pt idx="26">
                  <c:v>285.1875</c:v>
                </c:pt>
                <c:pt idx="27">
                  <c:v>307.546875</c:v>
                </c:pt>
                <c:pt idx="28">
                  <c:v>330.75</c:v>
                </c:pt>
                <c:pt idx="29">
                  <c:v>354.796875</c:v>
                </c:pt>
                <c:pt idx="30">
                  <c:v>379.6875</c:v>
                </c:pt>
                <c:pt idx="31">
                  <c:v>405.421875</c:v>
                </c:pt>
                <c:pt idx="32">
                  <c:v>432</c:v>
                </c:pt>
                <c:pt idx="33">
                  <c:v>459.421875</c:v>
                </c:pt>
                <c:pt idx="34">
                  <c:v>487.6875</c:v>
                </c:pt>
                <c:pt idx="35">
                  <c:v>516.796875</c:v>
                </c:pt>
                <c:pt idx="36">
                  <c:v>546.75</c:v>
                </c:pt>
                <c:pt idx="37">
                  <c:v>577.546875</c:v>
                </c:pt>
                <c:pt idx="38">
                  <c:v>609.1875</c:v>
                </c:pt>
                <c:pt idx="39">
                  <c:v>641.671875</c:v>
                </c:pt>
                <c:pt idx="40">
                  <c:v>675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"A₀ limit"</c:f>
              <c:strCache>
                <c:ptCount val="1"/>
                <c:pt idx="0">
                  <c:v>A₀ limit</c:v>
                </c:pt>
              </c:strCache>
            </c:strRef>
          </c:tx>
          <c:spPr>
            <a:solidFill>
              <a:srgbClr val="c0392b"/>
            </a:solidFill>
            <a:ln w="4752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SIB!$H$4:$H$44</c:f>
              <c:numCache>
                <c:formatCode>0.00</c:formatCode>
                <c:ptCount val="41"/>
                <c:pt idx="0">
                  <c:v>0</c:v>
                </c:pt>
                <c:pt idx="1">
                  <c:v>0.1875</c:v>
                </c:pt>
                <c:pt idx="2">
                  <c:v>0.375</c:v>
                </c:pt>
                <c:pt idx="3">
                  <c:v>0.5625</c:v>
                </c:pt>
                <c:pt idx="4">
                  <c:v>0.75</c:v>
                </c:pt>
                <c:pt idx="5">
                  <c:v>0.9375</c:v>
                </c:pt>
                <c:pt idx="6">
                  <c:v>1.125</c:v>
                </c:pt>
                <c:pt idx="7">
                  <c:v>1.3125</c:v>
                </c:pt>
                <c:pt idx="8">
                  <c:v>1.5</c:v>
                </c:pt>
                <c:pt idx="9">
                  <c:v>1.6875</c:v>
                </c:pt>
                <c:pt idx="10">
                  <c:v>1.875</c:v>
                </c:pt>
                <c:pt idx="11">
                  <c:v>2.0625</c:v>
                </c:pt>
                <c:pt idx="12">
                  <c:v>2.25</c:v>
                </c:pt>
                <c:pt idx="13">
                  <c:v>2.4375</c:v>
                </c:pt>
                <c:pt idx="14">
                  <c:v>2.625</c:v>
                </c:pt>
                <c:pt idx="15">
                  <c:v>2.8125</c:v>
                </c:pt>
                <c:pt idx="16">
                  <c:v>3</c:v>
                </c:pt>
                <c:pt idx="17">
                  <c:v>3.1875</c:v>
                </c:pt>
                <c:pt idx="18">
                  <c:v>3.375</c:v>
                </c:pt>
                <c:pt idx="19">
                  <c:v>3.5625</c:v>
                </c:pt>
                <c:pt idx="20">
                  <c:v>3.75</c:v>
                </c:pt>
                <c:pt idx="21">
                  <c:v>3.9375</c:v>
                </c:pt>
                <c:pt idx="22">
                  <c:v>4.125</c:v>
                </c:pt>
                <c:pt idx="23">
                  <c:v>4.3125</c:v>
                </c:pt>
                <c:pt idx="24">
                  <c:v>4.5</c:v>
                </c:pt>
                <c:pt idx="25">
                  <c:v>4.6875</c:v>
                </c:pt>
                <c:pt idx="26">
                  <c:v>4.875</c:v>
                </c:pt>
                <c:pt idx="27">
                  <c:v>5.0625</c:v>
                </c:pt>
                <c:pt idx="28">
                  <c:v>5.25</c:v>
                </c:pt>
                <c:pt idx="29">
                  <c:v>5.4375</c:v>
                </c:pt>
                <c:pt idx="30">
                  <c:v>5.625</c:v>
                </c:pt>
                <c:pt idx="31">
                  <c:v>5.8125</c:v>
                </c:pt>
                <c:pt idx="32">
                  <c:v>6</c:v>
                </c:pt>
                <c:pt idx="33">
                  <c:v>6.1875</c:v>
                </c:pt>
                <c:pt idx="34">
                  <c:v>6.375</c:v>
                </c:pt>
                <c:pt idx="35">
                  <c:v>6.5625</c:v>
                </c:pt>
                <c:pt idx="36">
                  <c:v>6.75</c:v>
                </c:pt>
                <c:pt idx="37">
                  <c:v>6.9375</c:v>
                </c:pt>
                <c:pt idx="38">
                  <c:v>7.125</c:v>
                </c:pt>
                <c:pt idx="39">
                  <c:v>7.3125</c:v>
                </c:pt>
                <c:pt idx="40">
                  <c:v>7.5</c:v>
                </c:pt>
              </c:numCache>
            </c:numRef>
          </c:xVal>
          <c:yVal>
            <c:numRef>
              <c:f>SIB!$J$4:$J$44</c:f>
              <c:numCache>
                <c:formatCode>\$#,##0.00</c:formatCode>
                <c:ptCount val="4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</c:numCache>
            </c:numRef>
          </c:yVal>
          <c:smooth val="1"/>
        </c:ser>
        <c:axId val="30746300"/>
        <c:axId val="21239438"/>
      </c:scatterChart>
      <c:valAx>
        <c:axId val="307463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Process output 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39438"/>
        <c:crosses val="autoZero"/>
        <c:crossBetween val="midCat"/>
      </c:valAx>
      <c:valAx>
        <c:axId val="21239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 L(y)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463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130680</xdr:rowOff>
    </xdr:from>
    <xdr:to>
      <xdr:col>20</xdr:col>
      <xdr:colOff>256320</xdr:colOff>
      <xdr:row>17</xdr:row>
      <xdr:rowOff>131760</xdr:rowOff>
    </xdr:to>
    <xdr:graphicFrame>
      <xdr:nvGraphicFramePr>
        <xdr:cNvPr id="0" name="Chart 1"/>
        <xdr:cNvGraphicFramePr/>
      </xdr:nvGraphicFramePr>
      <xdr:xfrm>
        <a:off x="114663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130680</xdr:rowOff>
    </xdr:from>
    <xdr:to>
      <xdr:col>20</xdr:col>
      <xdr:colOff>256320</xdr:colOff>
      <xdr:row>17</xdr:row>
      <xdr:rowOff>131760</xdr:rowOff>
    </xdr:to>
    <xdr:graphicFrame>
      <xdr:nvGraphicFramePr>
        <xdr:cNvPr id="1" name="Chart 1"/>
        <xdr:cNvGraphicFramePr/>
      </xdr:nvGraphicFramePr>
      <xdr:xfrm>
        <a:off x="114663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130680</xdr:rowOff>
    </xdr:from>
    <xdr:to>
      <xdr:col>20</xdr:col>
      <xdr:colOff>256320</xdr:colOff>
      <xdr:row>17</xdr:row>
      <xdr:rowOff>131760</xdr:rowOff>
    </xdr:to>
    <xdr:graphicFrame>
      <xdr:nvGraphicFramePr>
        <xdr:cNvPr id="2" name="Chart 1"/>
        <xdr:cNvGraphicFramePr/>
      </xdr:nvGraphicFramePr>
      <xdr:xfrm>
        <a:off x="114663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4" t="s">
        <v>4</v>
      </c>
    </row>
    <row r="7" customFormat="false" ht="15" hidden="false" customHeight="false" outlineLevel="0" collapsed="false">
      <c r="B7" s="5" t="s">
        <v>5</v>
      </c>
      <c r="C7" s="4" t="s">
        <v>6</v>
      </c>
    </row>
    <row r="8" customFormat="false" ht="23.85" hidden="false" customHeight="false" outlineLevel="0" collapsed="false">
      <c r="B8" s="5" t="s">
        <v>7</v>
      </c>
      <c r="C8" s="4" t="s">
        <v>8</v>
      </c>
    </row>
    <row r="9" customFormat="false" ht="15" hidden="false" customHeight="false" outlineLevel="0" collapsed="false">
      <c r="B9" s="5" t="s">
        <v>9</v>
      </c>
      <c r="C9" s="4" t="s">
        <v>10</v>
      </c>
    </row>
    <row r="10" customFormat="false" ht="15" hidden="false" customHeight="false" outlineLevel="0" collapsed="false">
      <c r="B10" s="6"/>
      <c r="C10" s="4"/>
    </row>
    <row r="11" customFormat="false" ht="15" hidden="false" customHeight="false" outlineLevel="0" collapsed="false">
      <c r="B11" s="3" t="s">
        <v>11</v>
      </c>
      <c r="C11" s="4"/>
    </row>
    <row r="12" customFormat="false" ht="15" hidden="false" customHeight="false" outlineLevel="0" collapsed="false">
      <c r="B12" s="5" t="s">
        <v>12</v>
      </c>
      <c r="C12" s="4" t="s">
        <v>13</v>
      </c>
    </row>
    <row r="13" customFormat="false" ht="15" hidden="false" customHeight="false" outlineLevel="0" collapsed="false">
      <c r="B13" s="5" t="s">
        <v>14</v>
      </c>
      <c r="C13" s="4" t="s">
        <v>15</v>
      </c>
    </row>
    <row r="14" customFormat="false" ht="15" hidden="false" customHeight="false" outlineLevel="0" collapsed="false">
      <c r="B14" s="5" t="s">
        <v>16</v>
      </c>
      <c r="C14" s="4" t="s">
        <v>17</v>
      </c>
    </row>
    <row r="15" customFormat="false" ht="15" hidden="false" customHeight="false" outlineLevel="0" collapsed="false">
      <c r="B15" s="5" t="s">
        <v>18</v>
      </c>
      <c r="C15" s="4" t="s">
        <v>19</v>
      </c>
    </row>
    <row r="16" customFormat="false" ht="15" hidden="false" customHeight="false" outlineLevel="0" collapsed="false">
      <c r="B16" s="6"/>
      <c r="C16" s="4"/>
    </row>
    <row r="17" customFormat="false" ht="15" hidden="false" customHeight="false" outlineLevel="0" collapsed="false">
      <c r="B17" s="3" t="s">
        <v>20</v>
      </c>
      <c r="C17" s="4"/>
    </row>
    <row r="18" customFormat="false" ht="23.85" hidden="false" customHeight="false" outlineLevel="0" collapsed="false">
      <c r="B18" s="5" t="s">
        <v>21</v>
      </c>
      <c r="C18" s="4" t="s">
        <v>22</v>
      </c>
    </row>
    <row r="19" customFormat="false" ht="15" hidden="false" customHeight="false" outlineLevel="0" collapsed="false">
      <c r="B19" s="5" t="s">
        <v>23</v>
      </c>
      <c r="C19" s="4" t="s">
        <v>24</v>
      </c>
    </row>
    <row r="20" customFormat="false" ht="15" hidden="false" customHeight="false" outlineLevel="0" collapsed="false">
      <c r="B20" s="5" t="s">
        <v>25</v>
      </c>
      <c r="C20" s="4" t="s">
        <v>26</v>
      </c>
    </row>
    <row r="21" customFormat="false" ht="15" hidden="false" customHeight="false" outlineLevel="0" collapsed="false">
      <c r="B21" s="5" t="s">
        <v>27</v>
      </c>
      <c r="C21" s="4" t="s">
        <v>28</v>
      </c>
    </row>
    <row r="22" customFormat="false" ht="15" hidden="false" customHeight="false" outlineLevel="0" collapsed="false">
      <c r="B22" s="6"/>
      <c r="C22" s="4"/>
    </row>
    <row r="23" customFormat="false" ht="35.05" hidden="false" customHeight="false" outlineLevel="0" collapsed="false">
      <c r="B23" s="5" t="s">
        <v>29</v>
      </c>
      <c r="C23" s="4" t="s">
        <v>30</v>
      </c>
    </row>
    <row r="24" customFormat="false" ht="15" hidden="false" customHeight="false" outlineLevel="0" collapsed="false">
      <c r="B24" s="5" t="s">
        <v>31</v>
      </c>
      <c r="C24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3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E2" s="2" t="s">
        <v>34</v>
      </c>
      <c r="H2" s="2" t="s">
        <v>35</v>
      </c>
    </row>
    <row r="3" customFormat="false" ht="30" hidden="false" customHeight="true" outlineLevel="0" collapsed="false">
      <c r="A3" s="8" t="s">
        <v>36</v>
      </c>
      <c r="B3" s="9" t="n">
        <v>500</v>
      </c>
      <c r="D3" s="10" t="s">
        <v>37</v>
      </c>
      <c r="E3" s="10" t="s">
        <v>38</v>
      </c>
      <c r="F3" s="10" t="s">
        <v>39</v>
      </c>
      <c r="H3" s="11" t="s">
        <v>40</v>
      </c>
      <c r="I3" s="11" t="s">
        <v>41</v>
      </c>
      <c r="J3" s="11" t="s">
        <v>21</v>
      </c>
    </row>
    <row r="4" customFormat="false" ht="15" hidden="false" customHeight="false" outlineLevel="0" collapsed="false">
      <c r="A4" s="8" t="s">
        <v>42</v>
      </c>
      <c r="B4" s="9" t="n">
        <v>10</v>
      </c>
      <c r="D4" s="12" t="n">
        <v>1</v>
      </c>
      <c r="E4" s="13" t="n">
        <v>499.5</v>
      </c>
      <c r="F4" s="14" t="n">
        <f aca="false">IF(E4="","",$B$7*(E4-$B$3)^2)</f>
        <v>0.00625</v>
      </c>
      <c r="H4" s="15" t="n">
        <f aca="false">$B$3-2*$B$4+0*$B$4/10</f>
        <v>480</v>
      </c>
      <c r="I4" s="16" t="n">
        <f aca="false">$B$7*(H4-$B$3)^2</f>
        <v>10</v>
      </c>
      <c r="J4" s="16" t="n">
        <f aca="false">$B$5</f>
        <v>2.5</v>
      </c>
    </row>
    <row r="5" customFormat="false" ht="15" hidden="false" customHeight="false" outlineLevel="0" collapsed="false">
      <c r="A5" s="8" t="s">
        <v>43</v>
      </c>
      <c r="B5" s="17" t="n">
        <v>2.5</v>
      </c>
      <c r="D5" s="12" t="n">
        <v>2</v>
      </c>
      <c r="E5" s="13" t="n">
        <v>503.4</v>
      </c>
      <c r="F5" s="14" t="n">
        <f aca="false">IF(E5="","",$B$7*(E5-$B$3)^2)</f>
        <v>0.288999999999996</v>
      </c>
      <c r="H5" s="15" t="n">
        <f aca="false">$B$3-2*$B$4+1*$B$4/10</f>
        <v>481</v>
      </c>
      <c r="I5" s="16" t="n">
        <f aca="false">$B$7*(H5-$B$3)^2</f>
        <v>9.025</v>
      </c>
      <c r="J5" s="16" t="n">
        <f aca="false">$B$5</f>
        <v>2.5</v>
      </c>
    </row>
    <row r="6" customFormat="false" ht="15" hidden="false" customHeight="false" outlineLevel="0" collapsed="false">
      <c r="B6" s="18"/>
      <c r="D6" s="12" t="n">
        <v>3</v>
      </c>
      <c r="E6" s="13" t="n">
        <v>495.3</v>
      </c>
      <c r="F6" s="14" t="n">
        <f aca="false">IF(E6="","",$B$7*(E6-$B$3)^2)</f>
        <v>0.552249999999997</v>
      </c>
      <c r="H6" s="15" t="n">
        <f aca="false">$B$3-2*$B$4+2*$B$4/10</f>
        <v>482</v>
      </c>
      <c r="I6" s="16" t="n">
        <f aca="false">$B$7*(H6-$B$3)^2</f>
        <v>8.1</v>
      </c>
      <c r="J6" s="16" t="n">
        <f aca="false">$B$5</f>
        <v>2.5</v>
      </c>
    </row>
    <row r="7" customFormat="false" ht="15" hidden="false" customHeight="false" outlineLevel="0" collapsed="false">
      <c r="A7" s="19" t="s">
        <v>44</v>
      </c>
      <c r="B7" s="20" t="n">
        <f aca="false">$B$5/$B$4^2</f>
        <v>0.025</v>
      </c>
      <c r="D7" s="12" t="n">
        <v>4</v>
      </c>
      <c r="E7" s="13" t="n">
        <v>507.8</v>
      </c>
      <c r="F7" s="14" t="n">
        <f aca="false">IF(E7="","",$B$7*(E7-$B$3)^2)</f>
        <v>1.521</v>
      </c>
      <c r="H7" s="15" t="n">
        <f aca="false">$B$3-2*$B$4+3*$B$4/10</f>
        <v>483</v>
      </c>
      <c r="I7" s="16" t="n">
        <f aca="false">$B$7*(H7-$B$3)^2</f>
        <v>7.225</v>
      </c>
      <c r="J7" s="16" t="n">
        <f aca="false">$B$5</f>
        <v>2.5</v>
      </c>
    </row>
    <row r="8" customFormat="false" ht="15" hidden="false" customHeight="false" outlineLevel="0" collapsed="false">
      <c r="B8" s="18"/>
      <c r="D8" s="12" t="n">
        <v>5</v>
      </c>
      <c r="E8" s="13" t="n">
        <v>504.9</v>
      </c>
      <c r="F8" s="14" t="n">
        <f aca="false">IF(E8="","",$B$7*(E8-$B$3)^2)</f>
        <v>0.600249999999995</v>
      </c>
      <c r="H8" s="15" t="n">
        <f aca="false">$B$3-2*$B$4+4*$B$4/10</f>
        <v>484</v>
      </c>
      <c r="I8" s="16" t="n">
        <f aca="false">$B$7*(H8-$B$3)^2</f>
        <v>6.4</v>
      </c>
      <c r="J8" s="16" t="n">
        <f aca="false">$B$5</f>
        <v>2.5</v>
      </c>
    </row>
    <row r="9" customFormat="false" ht="15" hidden="false" customHeight="false" outlineLevel="0" collapsed="false">
      <c r="A9" s="8" t="s">
        <v>45</v>
      </c>
      <c r="B9" s="9" t="n">
        <v>506</v>
      </c>
      <c r="D9" s="12" t="n">
        <v>6</v>
      </c>
      <c r="E9" s="13" t="n">
        <v>501.4</v>
      </c>
      <c r="F9" s="14" t="n">
        <f aca="false">IF(E9="","",$B$7*(E9-$B$3)^2)</f>
        <v>0.0489999999999984</v>
      </c>
      <c r="H9" s="15" t="n">
        <f aca="false">$B$3-2*$B$4+5*$B$4/10</f>
        <v>485</v>
      </c>
      <c r="I9" s="16" t="n">
        <f aca="false">$B$7*(H9-$B$3)^2</f>
        <v>5.625</v>
      </c>
      <c r="J9" s="16" t="n">
        <f aca="false">$B$5</f>
        <v>2.5</v>
      </c>
    </row>
    <row r="10" customFormat="false" ht="15" hidden="false" customHeight="false" outlineLevel="0" collapsed="false">
      <c r="A10" s="19" t="s">
        <v>46</v>
      </c>
      <c r="B10" s="21" t="n">
        <f aca="false">IF(B9="","",$B$7*(B9-$B$3)^2)</f>
        <v>0.9</v>
      </c>
      <c r="D10" s="12" t="n">
        <v>7</v>
      </c>
      <c r="E10" s="13" t="n">
        <v>501.3</v>
      </c>
      <c r="F10" s="14" t="n">
        <f aca="false">IF(E10="","",$B$7*(E10-$B$3)^2)</f>
        <v>0.0422500000000007</v>
      </c>
      <c r="H10" s="15" t="n">
        <f aca="false">$B$3-2*$B$4+6*$B$4/10</f>
        <v>486</v>
      </c>
      <c r="I10" s="16" t="n">
        <f aca="false">$B$7*(H10-$B$3)^2</f>
        <v>4.9</v>
      </c>
      <c r="J10" s="16" t="n">
        <f aca="false">$B$5</f>
        <v>2.5</v>
      </c>
    </row>
    <row r="11" customFormat="false" ht="15" hidden="false" customHeight="false" outlineLevel="0" collapsed="false">
      <c r="A11" s="8" t="s">
        <v>47</v>
      </c>
      <c r="B11" s="22" t="n">
        <f aca="false">IF(OR(B10="",ISTEXT(B10)),"",B10/$B$5)</f>
        <v>0.36</v>
      </c>
      <c r="D11" s="12" t="n">
        <v>8</v>
      </c>
      <c r="E11" s="13" t="n">
        <v>503.7</v>
      </c>
      <c r="F11" s="14" t="n">
        <f aca="false">IF(E11="","",$B$7*(E11-$B$3)^2)</f>
        <v>0.342249999999998</v>
      </c>
      <c r="H11" s="15" t="n">
        <f aca="false">$B$3-2*$B$4+7*$B$4/10</f>
        <v>487</v>
      </c>
      <c r="I11" s="16" t="n">
        <f aca="false">$B$7*(H11-$B$3)^2</f>
        <v>4.225</v>
      </c>
      <c r="J11" s="16" t="n">
        <f aca="false">$B$5</f>
        <v>2.5</v>
      </c>
    </row>
    <row r="12" customFormat="false" ht="15" hidden="false" customHeight="false" outlineLevel="0" collapsed="false">
      <c r="A12" s="8" t="s">
        <v>48</v>
      </c>
      <c r="B12" s="18" t="str">
        <f aca="false">IF(B9="","",IF(ABS(B9-$B$3)&gt;$B$4,"OUT OF TOLERANCE",IF(ABS(B9-$B$3)&gt;0.5*$B$4,"CAUTION - outer half of tolerance band","WITHIN TOLERANCE")))</f>
        <v>CAUTION - outer half of tolerance band</v>
      </c>
      <c r="D12" s="12" t="n">
        <v>9</v>
      </c>
      <c r="E12" s="13" t="n">
        <v>501.5</v>
      </c>
      <c r="F12" s="14" t="n">
        <f aca="false">IF(E12="","",$B$7*(E12-$B$3)^2)</f>
        <v>0.05625</v>
      </c>
      <c r="H12" s="15" t="n">
        <f aca="false">$B$3-2*$B$4+8*$B$4/10</f>
        <v>488</v>
      </c>
      <c r="I12" s="16" t="n">
        <f aca="false">$B$7*(H12-$B$3)^2</f>
        <v>3.6</v>
      </c>
      <c r="J12" s="16" t="n">
        <f aca="false">$B$5</f>
        <v>2.5</v>
      </c>
    </row>
    <row r="13" customFormat="false" ht="15" hidden="false" customHeight="false" outlineLevel="0" collapsed="false">
      <c r="B13" s="18"/>
      <c r="D13" s="12" t="n">
        <v>10</v>
      </c>
      <c r="E13" s="13" t="n">
        <v>501.6</v>
      </c>
      <c r="F13" s="14" t="n">
        <f aca="false">IF(E13="","",$B$7*(E13-$B$3)^2)</f>
        <v>0.0640000000000018</v>
      </c>
      <c r="H13" s="15" t="n">
        <f aca="false">$B$3-2*$B$4+9*$B$4/10</f>
        <v>489</v>
      </c>
      <c r="I13" s="16" t="n">
        <f aca="false">$B$7*(H13-$B$3)^2</f>
        <v>3.025</v>
      </c>
      <c r="J13" s="16" t="n">
        <f aca="false">$B$5</f>
        <v>2.5</v>
      </c>
    </row>
    <row r="14" customFormat="false" ht="15" hidden="false" customHeight="false" outlineLevel="0" collapsed="false">
      <c r="A14" s="23" t="s">
        <v>49</v>
      </c>
      <c r="B14" s="18"/>
      <c r="D14" s="12" t="n">
        <v>11</v>
      </c>
      <c r="E14" s="13" t="n">
        <v>505.2</v>
      </c>
      <c r="F14" s="14" t="n">
        <f aca="false">IF(E14="","",$B$7*(E14-$B$3)^2)</f>
        <v>0.675999999999997</v>
      </c>
      <c r="H14" s="15" t="n">
        <f aca="false">$B$3-2*$B$4+10*$B$4/10</f>
        <v>490</v>
      </c>
      <c r="I14" s="16" t="n">
        <f aca="false">$B$7*(H14-$B$3)^2</f>
        <v>2.5</v>
      </c>
      <c r="J14" s="16" t="n">
        <f aca="false">$B$5</f>
        <v>2.5</v>
      </c>
    </row>
    <row r="15" customFormat="false" ht="15" hidden="false" customHeight="false" outlineLevel="0" collapsed="false">
      <c r="A15" s="8" t="s">
        <v>50</v>
      </c>
      <c r="B15" s="24" t="n">
        <f aca="false">COUNT($E$4:$E$503)</f>
        <v>30</v>
      </c>
      <c r="D15" s="12" t="n">
        <v>12</v>
      </c>
      <c r="E15" s="13" t="n">
        <v>504.5</v>
      </c>
      <c r="F15" s="14" t="n">
        <f aca="false">IF(E15="","",$B$7*(E15-$B$3)^2)</f>
        <v>0.50625</v>
      </c>
      <c r="H15" s="15" t="n">
        <f aca="false">$B$3-2*$B$4+11*$B$4/10</f>
        <v>491</v>
      </c>
      <c r="I15" s="16" t="n">
        <f aca="false">$B$7*(H15-$B$3)^2</f>
        <v>2.025</v>
      </c>
      <c r="J15" s="16" t="n">
        <f aca="false">$B$5</f>
        <v>2.5</v>
      </c>
    </row>
    <row r="16" customFormat="false" ht="15" hidden="false" customHeight="false" outlineLevel="0" collapsed="false">
      <c r="A16" s="8" t="s">
        <v>51</v>
      </c>
      <c r="B16" s="25" t="n">
        <f aca="false">IF(B15=0,"",AVERAGE($E$4:$E$503))</f>
        <v>502.49</v>
      </c>
      <c r="D16" s="12" t="n">
        <v>13</v>
      </c>
      <c r="E16" s="13" t="n">
        <v>502.3</v>
      </c>
      <c r="F16" s="14" t="n">
        <f aca="false">IF(E16="","",$B$7*(E16-$B$3)^2)</f>
        <v>0.132250000000001</v>
      </c>
      <c r="H16" s="15" t="n">
        <f aca="false">$B$3-2*$B$4+12*$B$4/10</f>
        <v>492</v>
      </c>
      <c r="I16" s="16" t="n">
        <f aca="false">$B$7*(H16-$B$3)^2</f>
        <v>1.6</v>
      </c>
      <c r="J16" s="16" t="n">
        <f aca="false">$B$5</f>
        <v>2.5</v>
      </c>
    </row>
    <row r="17" customFormat="false" ht="15" hidden="false" customHeight="false" outlineLevel="0" collapsed="false">
      <c r="A17" s="8" t="s">
        <v>52</v>
      </c>
      <c r="B17" s="25" t="n">
        <f aca="false">IF(B15&lt;2,"",STDEV($E$4:$E$503))</f>
        <v>3.06440633841149</v>
      </c>
      <c r="D17" s="12" t="n">
        <v>14</v>
      </c>
      <c r="E17" s="13" t="n">
        <v>502.2</v>
      </c>
      <c r="F17" s="14" t="n">
        <f aca="false">IF(E17="","",$B$7*(E17-$B$3)^2)</f>
        <v>0.120999999999999</v>
      </c>
      <c r="H17" s="15" t="n">
        <f aca="false">$B$3-2*$B$4+13*$B$4/10</f>
        <v>493</v>
      </c>
      <c r="I17" s="16" t="n">
        <f aca="false">$B$7*(H17-$B$3)^2</f>
        <v>1.225</v>
      </c>
      <c r="J17" s="16" t="n">
        <f aca="false">$B$5</f>
        <v>2.5</v>
      </c>
    </row>
    <row r="18" customFormat="false" ht="15" hidden="false" customHeight="false" outlineLevel="0" collapsed="false">
      <c r="A18" s="8" t="s">
        <v>53</v>
      </c>
      <c r="B18" s="25" t="n">
        <f aca="false">IF(B15=0,"",MIN($E$4:$E$503))</f>
        <v>495.3</v>
      </c>
      <c r="D18" s="12" t="n">
        <v>15</v>
      </c>
      <c r="E18" s="13" t="n">
        <v>503.1</v>
      </c>
      <c r="F18" s="14" t="n">
        <f aca="false">IF(E18="","",$B$7*(E18-$B$3)^2)</f>
        <v>0.240250000000004</v>
      </c>
      <c r="H18" s="15" t="n">
        <f aca="false">$B$3-2*$B$4+14*$B$4/10</f>
        <v>494</v>
      </c>
      <c r="I18" s="16" t="n">
        <f aca="false">$B$7*(H18-$B$3)^2</f>
        <v>0.9</v>
      </c>
      <c r="J18" s="16" t="n">
        <f aca="false">$B$5</f>
        <v>2.5</v>
      </c>
    </row>
    <row r="19" customFormat="false" ht="15" hidden="false" customHeight="false" outlineLevel="0" collapsed="false">
      <c r="A19" s="8" t="s">
        <v>54</v>
      </c>
      <c r="B19" s="25" t="n">
        <f aca="false">IF(B15=0,"",MAX($E$4:$E$503))</f>
        <v>509.4</v>
      </c>
      <c r="D19" s="12" t="n">
        <v>16</v>
      </c>
      <c r="E19" s="13" t="n">
        <v>500.2</v>
      </c>
      <c r="F19" s="14" t="n">
        <f aca="false">IF(E19="","",$B$7*(E19-$B$3)^2)</f>
        <v>0.000999999999999886</v>
      </c>
      <c r="H19" s="15" t="n">
        <f aca="false">$B$3-2*$B$4+15*$B$4/10</f>
        <v>495</v>
      </c>
      <c r="I19" s="16" t="n">
        <f aca="false">$B$7*(H19-$B$3)^2</f>
        <v>0.625</v>
      </c>
      <c r="J19" s="16" t="n">
        <f aca="false">$B$5</f>
        <v>2.5</v>
      </c>
    </row>
    <row r="20" customFormat="false" ht="15" hidden="false" customHeight="false" outlineLevel="0" collapsed="false">
      <c r="A20" s="19" t="s">
        <v>55</v>
      </c>
      <c r="B20" s="21" t="n">
        <f aca="false">IF(B15=0,"",AVERAGE($F$4:$F$503))</f>
        <v>0.381941666666666</v>
      </c>
      <c r="D20" s="12" t="n">
        <v>17</v>
      </c>
      <c r="E20" s="13" t="n">
        <v>501</v>
      </c>
      <c r="F20" s="14" t="n">
        <f aca="false">IF(E20="","",$B$7*(E20-$B$3)^2)</f>
        <v>0.025</v>
      </c>
      <c r="H20" s="15" t="n">
        <f aca="false">$B$3-2*$B$4+16*$B$4/10</f>
        <v>496</v>
      </c>
      <c r="I20" s="16" t="n">
        <f aca="false">$B$7*(H20-$B$3)^2</f>
        <v>0.4</v>
      </c>
      <c r="J20" s="16" t="n">
        <f aca="false">$B$5</f>
        <v>2.5</v>
      </c>
    </row>
    <row r="21" customFormat="false" ht="15" hidden="false" customHeight="false" outlineLevel="0" collapsed="false">
      <c r="A21" s="19" t="s">
        <v>56</v>
      </c>
      <c r="B21" s="26" t="n">
        <f aca="false">IF(B15=0,"",SUM($F$4:$F$503))</f>
        <v>11.45825</v>
      </c>
      <c r="D21" s="12" t="n">
        <v>18</v>
      </c>
      <c r="E21" s="13" t="n">
        <v>504.6</v>
      </c>
      <c r="F21" s="14" t="n">
        <f aca="false">IF(E21="","",$B$7*(E21-$B$3)^2)</f>
        <v>0.529000000000005</v>
      </c>
      <c r="H21" s="15" t="n">
        <f aca="false">$B$3-2*$B$4+17*$B$4/10</f>
        <v>497</v>
      </c>
      <c r="I21" s="16" t="n">
        <f aca="false">$B$7*(H21-$B$3)^2</f>
        <v>0.225</v>
      </c>
      <c r="J21" s="16" t="n">
        <f aca="false">$B$5</f>
        <v>2.5</v>
      </c>
    </row>
    <row r="22" customFormat="false" ht="15" hidden="false" customHeight="false" outlineLevel="0" collapsed="false">
      <c r="A22" s="8" t="s">
        <v>57</v>
      </c>
      <c r="B22" s="27" t="n">
        <f aca="false">IF(B15=0,"",B20/$B$5)</f>
        <v>0.152776666666666</v>
      </c>
      <c r="D22" s="12" t="n">
        <v>19</v>
      </c>
      <c r="E22" s="13" t="n">
        <v>502</v>
      </c>
      <c r="F22" s="14" t="n">
        <f aca="false">IF(E22="","",$B$7*(E22-$B$3)^2)</f>
        <v>0.1</v>
      </c>
      <c r="H22" s="15" t="n">
        <f aca="false">$B$3-2*$B$4+18*$B$4/10</f>
        <v>498</v>
      </c>
      <c r="I22" s="16" t="n">
        <f aca="false">$B$7*(H22-$B$3)^2</f>
        <v>0.1</v>
      </c>
      <c r="J22" s="16" t="n">
        <f aca="false">$B$5</f>
        <v>2.5</v>
      </c>
    </row>
    <row r="23" customFormat="false" ht="15" hidden="false" customHeight="false" outlineLevel="0" collapsed="false">
      <c r="A23" s="8" t="s">
        <v>58</v>
      </c>
      <c r="B23" s="28" t="n">
        <f aca="false">IF(B15=0,"",$B$7*VARP($E$4:$E$503))</f>
        <v>0.226939166666666</v>
      </c>
      <c r="D23" s="12" t="n">
        <v>20</v>
      </c>
      <c r="E23" s="13" t="n">
        <v>497.3</v>
      </c>
      <c r="F23" s="14" t="n">
        <f aca="false">IF(E23="","",$B$7*(E23-$B$3)^2)</f>
        <v>0.182249999999998</v>
      </c>
      <c r="H23" s="15" t="n">
        <f aca="false">$B$3-2*$B$4+19*$B$4/10</f>
        <v>499</v>
      </c>
      <c r="I23" s="16" t="n">
        <f aca="false">$B$7*(H23-$B$3)^2</f>
        <v>0.025</v>
      </c>
      <c r="J23" s="16" t="n">
        <f aca="false">$B$5</f>
        <v>2.5</v>
      </c>
    </row>
    <row r="24" customFormat="false" ht="15" hidden="false" customHeight="false" outlineLevel="0" collapsed="false">
      <c r="A24" s="8" t="s">
        <v>59</v>
      </c>
      <c r="B24" s="28" t="n">
        <f aca="false">IF(B15=0,"",$B$7*(B16-$B$3)^2)</f>
        <v>0.155002500000001</v>
      </c>
      <c r="D24" s="12" t="n">
        <v>21</v>
      </c>
      <c r="E24" s="13" t="n">
        <v>500.7</v>
      </c>
      <c r="F24" s="14" t="n">
        <f aca="false">IF(E24="","",$B$7*(E24-$B$3)^2)</f>
        <v>0.0122499999999996</v>
      </c>
      <c r="H24" s="15" t="n">
        <f aca="false">$B$3-2*$B$4+20*$B$4/10</f>
        <v>500</v>
      </c>
      <c r="I24" s="16" t="n">
        <f aca="false">$B$7*(H24-$B$3)^2</f>
        <v>0</v>
      </c>
      <c r="J24" s="16" t="n">
        <f aca="false">$B$5</f>
        <v>2.5</v>
      </c>
    </row>
    <row r="25" customFormat="false" ht="15" hidden="false" customHeight="false" outlineLevel="0" collapsed="false">
      <c r="A25" s="8" t="s">
        <v>60</v>
      </c>
      <c r="B25" s="29" t="n">
        <f aca="false">IF(OR(B15=0,B20=0),"",B23/B20)</f>
        <v>0.594172321253245</v>
      </c>
      <c r="D25" s="12" t="n">
        <v>22</v>
      </c>
      <c r="E25" s="13" t="n">
        <v>505</v>
      </c>
      <c r="F25" s="14" t="n">
        <f aca="false">IF(E25="","",$B$7*(E25-$B$3)^2)</f>
        <v>0.625</v>
      </c>
      <c r="H25" s="15" t="n">
        <f aca="false">$B$3-2*$B$4+21*$B$4/10</f>
        <v>501</v>
      </c>
      <c r="I25" s="16" t="n">
        <f aca="false">$B$7*(H25-$B$3)^2</f>
        <v>0.025</v>
      </c>
      <c r="J25" s="16" t="n">
        <f aca="false">$B$5</f>
        <v>2.5</v>
      </c>
    </row>
    <row r="26" customFormat="false" ht="15" hidden="false" customHeight="false" outlineLevel="0" collapsed="false">
      <c r="A26" s="8" t="s">
        <v>61</v>
      </c>
      <c r="B26" s="18" t="str">
        <f aca="false">IF(B25="","",IF(B25&gt;=0.5,"Reduce variation (spread drives most loss)","Re-centre the mean on target (cheapest fix)"))</f>
        <v>Reduce variation (spread drives most loss)</v>
      </c>
      <c r="D26" s="12" t="n">
        <v>23</v>
      </c>
      <c r="E26" s="13" t="n">
        <v>501.6</v>
      </c>
      <c r="F26" s="14" t="n">
        <f aca="false">IF(E26="","",$B$7*(E26-$B$3)^2)</f>
        <v>0.0640000000000018</v>
      </c>
      <c r="H26" s="15" t="n">
        <f aca="false">$B$3-2*$B$4+22*$B$4/10</f>
        <v>502</v>
      </c>
      <c r="I26" s="16" t="n">
        <f aca="false">$B$7*(H26-$B$3)^2</f>
        <v>0.1</v>
      </c>
      <c r="J26" s="16" t="n">
        <f aca="false">$B$5</f>
        <v>2.5</v>
      </c>
    </row>
    <row r="27" customFormat="false" ht="15" hidden="false" customHeight="false" outlineLevel="0" collapsed="false">
      <c r="A27" s="19" t="s">
        <v>62</v>
      </c>
      <c r="B27" s="30" t="str">
        <f aca="false">IF(B15=0,"Enter data in column E",IF(B20&gt;$B$5,"CRITICAL - E[L] &gt; A0",IF(B20&gt;0.5*$B$5,"CAUTION - E[L] &gt; 50% of A0",IF(ABS(B16-$B$3)&gt;0.5*$B$4,"BIAS WARNING - mean off target","ACCEPTABLE"))))</f>
        <v>ACCEPTABLE</v>
      </c>
      <c r="D27" s="12" t="n">
        <v>24</v>
      </c>
      <c r="E27" s="13" t="n">
        <v>501.9</v>
      </c>
      <c r="F27" s="14" t="n">
        <f aca="false">IF(E27="","",$B$7*(E27-$B$3)^2)</f>
        <v>0.0902499999999979</v>
      </c>
      <c r="H27" s="15" t="n">
        <f aca="false">$B$3-2*$B$4+23*$B$4/10</f>
        <v>503</v>
      </c>
      <c r="I27" s="16" t="n">
        <f aca="false">$B$7*(H27-$B$3)^2</f>
        <v>0.225</v>
      </c>
      <c r="J27" s="16" t="n">
        <f aca="false">$B$5</f>
        <v>2.5</v>
      </c>
    </row>
    <row r="28" customFormat="false" ht="15" hidden="false" customHeight="false" outlineLevel="0" collapsed="false">
      <c r="A28" s="8" t="s">
        <v>63</v>
      </c>
      <c r="B28" s="31" t="n">
        <f aca="false">COUNTIF($E$4:$E$503,"&gt;"&amp;($B$3+$B$4))+COUNTIF($E$4:$E$503,"&lt;"&amp;($B$3-$B$4))</f>
        <v>0</v>
      </c>
      <c r="D28" s="12" t="n">
        <v>25</v>
      </c>
      <c r="E28" s="13" t="n">
        <v>504.9</v>
      </c>
      <c r="F28" s="14" t="n">
        <f aca="false">IF(E28="","",$B$7*(E28-$B$3)^2)</f>
        <v>0.600249999999995</v>
      </c>
      <c r="H28" s="15" t="n">
        <f aca="false">$B$3-2*$B$4+24*$B$4/10</f>
        <v>504</v>
      </c>
      <c r="I28" s="16" t="n">
        <f aca="false">$B$7*(H28-$B$3)^2</f>
        <v>0.4</v>
      </c>
      <c r="J28" s="16" t="n">
        <f aca="false">$B$5</f>
        <v>2.5</v>
      </c>
    </row>
    <row r="29" customFormat="false" ht="15" hidden="false" customHeight="false" outlineLevel="0" collapsed="false">
      <c r="B29" s="18"/>
      <c r="D29" s="12" t="n">
        <v>26</v>
      </c>
      <c r="E29" s="13" t="n">
        <v>509.4</v>
      </c>
      <c r="F29" s="14" t="n">
        <f aca="false">IF(E29="","",$B$7*(E29-$B$3)^2)</f>
        <v>2.20899999999999</v>
      </c>
      <c r="H29" s="15" t="n">
        <f aca="false">$B$3-2*$B$4+25*$B$4/10</f>
        <v>505</v>
      </c>
      <c r="I29" s="16" t="n">
        <f aca="false">$B$7*(H29-$B$3)^2</f>
        <v>0.625</v>
      </c>
      <c r="J29" s="16" t="n">
        <f aca="false">$B$5</f>
        <v>2.5</v>
      </c>
    </row>
    <row r="30" customFormat="false" ht="15" hidden="false" customHeight="false" outlineLevel="0" collapsed="false">
      <c r="B30" s="18"/>
      <c r="D30" s="12" t="n">
        <v>27</v>
      </c>
      <c r="E30" s="13" t="n">
        <v>499.8</v>
      </c>
      <c r="F30" s="14" t="n">
        <f aca="false">IF(E30="","",$B$7*(E30-$B$3)^2)</f>
        <v>0.000999999999999886</v>
      </c>
      <c r="H30" s="15" t="n">
        <f aca="false">$B$3-2*$B$4+26*$B$4/10</f>
        <v>506</v>
      </c>
      <c r="I30" s="16" t="n">
        <f aca="false">$B$7*(H30-$B$3)^2</f>
        <v>0.9</v>
      </c>
      <c r="J30" s="16" t="n">
        <f aca="false">$B$5</f>
        <v>2.5</v>
      </c>
    </row>
    <row r="31" customFormat="false" ht="15" hidden="false" customHeight="false" outlineLevel="0" collapsed="false">
      <c r="D31" s="12" t="n">
        <v>28</v>
      </c>
      <c r="E31" s="13" t="n">
        <v>507.6</v>
      </c>
      <c r="F31" s="14" t="n">
        <f aca="false">IF(E31="","",$B$7*(E31-$B$3)^2)</f>
        <v>1.44400000000001</v>
      </c>
      <c r="H31" s="15" t="n">
        <f aca="false">$B$3-2*$B$4+27*$B$4/10</f>
        <v>507</v>
      </c>
      <c r="I31" s="16" t="n">
        <f aca="false">$B$7*(H31-$B$3)^2</f>
        <v>1.225</v>
      </c>
      <c r="J31" s="16" t="n">
        <f aca="false">$B$5</f>
        <v>2.5</v>
      </c>
    </row>
    <row r="32" customFormat="false" ht="15" hidden="false" customHeight="false" outlineLevel="0" collapsed="false">
      <c r="D32" s="12" t="n">
        <v>29</v>
      </c>
      <c r="E32" s="13" t="n">
        <v>497.8</v>
      </c>
      <c r="F32" s="14" t="n">
        <f aca="false">IF(E32="","",$B$7*(E32-$B$3)^2)</f>
        <v>0.120999999999999</v>
      </c>
      <c r="H32" s="15" t="n">
        <f aca="false">$B$3-2*$B$4+28*$B$4/10</f>
        <v>508</v>
      </c>
      <c r="I32" s="16" t="n">
        <f aca="false">$B$7*(H32-$B$3)^2</f>
        <v>1.6</v>
      </c>
      <c r="J32" s="16" t="n">
        <f aca="false">$B$5</f>
        <v>2.5</v>
      </c>
    </row>
    <row r="33" customFormat="false" ht="15" hidden="false" customHeight="false" outlineLevel="0" collapsed="false">
      <c r="D33" s="12" t="n">
        <v>30</v>
      </c>
      <c r="E33" s="13" t="n">
        <v>503.2</v>
      </c>
      <c r="F33" s="14" t="n">
        <f aca="false">IF(E33="","",$B$7*(E33-$B$3)^2)</f>
        <v>0.255999999999998</v>
      </c>
      <c r="H33" s="15" t="n">
        <f aca="false">$B$3-2*$B$4+29*$B$4/10</f>
        <v>509</v>
      </c>
      <c r="I33" s="16" t="n">
        <f aca="false">$B$7*(H33-$B$3)^2</f>
        <v>2.025</v>
      </c>
      <c r="J33" s="16" t="n">
        <f aca="false">$B$5</f>
        <v>2.5</v>
      </c>
    </row>
    <row r="34" customFormat="false" ht="15" hidden="false" customHeight="false" outlineLevel="0" collapsed="false">
      <c r="D34" s="12" t="n">
        <v>31</v>
      </c>
      <c r="E34" s="13"/>
      <c r="F34" s="14" t="str">
        <f aca="false">IF(E34="","",$B$7*(E34-$B$3)^2)</f>
        <v/>
      </c>
      <c r="H34" s="15" t="n">
        <f aca="false">$B$3-2*$B$4+30*$B$4/10</f>
        <v>510</v>
      </c>
      <c r="I34" s="16" t="n">
        <f aca="false">$B$7*(H34-$B$3)^2</f>
        <v>2.5</v>
      </c>
      <c r="J34" s="16" t="n">
        <f aca="false">$B$5</f>
        <v>2.5</v>
      </c>
    </row>
    <row r="35" customFormat="false" ht="15" hidden="false" customHeight="false" outlineLevel="0" collapsed="false">
      <c r="D35" s="12" t="n">
        <v>32</v>
      </c>
      <c r="E35" s="13"/>
      <c r="F35" s="14" t="str">
        <f aca="false">IF(E35="","",$B$7*(E35-$B$3)^2)</f>
        <v/>
      </c>
      <c r="H35" s="15" t="n">
        <f aca="false">$B$3-2*$B$4+31*$B$4/10</f>
        <v>511</v>
      </c>
      <c r="I35" s="16" t="n">
        <f aca="false">$B$7*(H35-$B$3)^2</f>
        <v>3.025</v>
      </c>
      <c r="J35" s="16" t="n">
        <f aca="false">$B$5</f>
        <v>2.5</v>
      </c>
    </row>
    <row r="36" customFormat="false" ht="15" hidden="false" customHeight="false" outlineLevel="0" collapsed="false">
      <c r="D36" s="12" t="n">
        <v>33</v>
      </c>
      <c r="E36" s="13"/>
      <c r="F36" s="14" t="str">
        <f aca="false">IF(E36="","",$B$7*(E36-$B$3)^2)</f>
        <v/>
      </c>
      <c r="H36" s="15" t="n">
        <f aca="false">$B$3-2*$B$4+32*$B$4/10</f>
        <v>512</v>
      </c>
      <c r="I36" s="16" t="n">
        <f aca="false">$B$7*(H36-$B$3)^2</f>
        <v>3.6</v>
      </c>
      <c r="J36" s="16" t="n">
        <f aca="false">$B$5</f>
        <v>2.5</v>
      </c>
    </row>
    <row r="37" customFormat="false" ht="15" hidden="false" customHeight="false" outlineLevel="0" collapsed="false">
      <c r="D37" s="12" t="n">
        <v>34</v>
      </c>
      <c r="E37" s="13"/>
      <c r="F37" s="14" t="str">
        <f aca="false">IF(E37="","",$B$7*(E37-$B$3)^2)</f>
        <v/>
      </c>
      <c r="H37" s="15" t="n">
        <f aca="false">$B$3-2*$B$4+33*$B$4/10</f>
        <v>513</v>
      </c>
      <c r="I37" s="16" t="n">
        <f aca="false">$B$7*(H37-$B$3)^2</f>
        <v>4.225</v>
      </c>
      <c r="J37" s="16" t="n">
        <f aca="false">$B$5</f>
        <v>2.5</v>
      </c>
    </row>
    <row r="38" customFormat="false" ht="15" hidden="false" customHeight="false" outlineLevel="0" collapsed="false">
      <c r="D38" s="12" t="n">
        <v>35</v>
      </c>
      <c r="E38" s="13"/>
      <c r="F38" s="14" t="str">
        <f aca="false">IF(E38="","",$B$7*(E38-$B$3)^2)</f>
        <v/>
      </c>
      <c r="H38" s="15" t="n">
        <f aca="false">$B$3-2*$B$4+34*$B$4/10</f>
        <v>514</v>
      </c>
      <c r="I38" s="16" t="n">
        <f aca="false">$B$7*(H38-$B$3)^2</f>
        <v>4.9</v>
      </c>
      <c r="J38" s="16" t="n">
        <f aca="false">$B$5</f>
        <v>2.5</v>
      </c>
    </row>
    <row r="39" customFormat="false" ht="15" hidden="false" customHeight="false" outlineLevel="0" collapsed="false">
      <c r="D39" s="12" t="n">
        <v>36</v>
      </c>
      <c r="E39" s="13"/>
      <c r="F39" s="14" t="str">
        <f aca="false">IF(E39="","",$B$7*(E39-$B$3)^2)</f>
        <v/>
      </c>
      <c r="H39" s="15" t="n">
        <f aca="false">$B$3-2*$B$4+35*$B$4/10</f>
        <v>515</v>
      </c>
      <c r="I39" s="16" t="n">
        <f aca="false">$B$7*(H39-$B$3)^2</f>
        <v>5.625</v>
      </c>
      <c r="J39" s="16" t="n">
        <f aca="false">$B$5</f>
        <v>2.5</v>
      </c>
    </row>
    <row r="40" customFormat="false" ht="15" hidden="false" customHeight="false" outlineLevel="0" collapsed="false">
      <c r="D40" s="12" t="n">
        <v>37</v>
      </c>
      <c r="E40" s="13"/>
      <c r="F40" s="14" t="str">
        <f aca="false">IF(E40="","",$B$7*(E40-$B$3)^2)</f>
        <v/>
      </c>
      <c r="H40" s="15" t="n">
        <f aca="false">$B$3-2*$B$4+36*$B$4/10</f>
        <v>516</v>
      </c>
      <c r="I40" s="16" t="n">
        <f aca="false">$B$7*(H40-$B$3)^2</f>
        <v>6.4</v>
      </c>
      <c r="J40" s="16" t="n">
        <f aca="false">$B$5</f>
        <v>2.5</v>
      </c>
    </row>
    <row r="41" customFormat="false" ht="15" hidden="false" customHeight="false" outlineLevel="0" collapsed="false">
      <c r="D41" s="12" t="n">
        <v>38</v>
      </c>
      <c r="E41" s="13"/>
      <c r="F41" s="14" t="str">
        <f aca="false">IF(E41="","",$B$7*(E41-$B$3)^2)</f>
        <v/>
      </c>
      <c r="H41" s="15" t="n">
        <f aca="false">$B$3-2*$B$4+37*$B$4/10</f>
        <v>517</v>
      </c>
      <c r="I41" s="16" t="n">
        <f aca="false">$B$7*(H41-$B$3)^2</f>
        <v>7.225</v>
      </c>
      <c r="J41" s="16" t="n">
        <f aca="false">$B$5</f>
        <v>2.5</v>
      </c>
    </row>
    <row r="42" customFormat="false" ht="15" hidden="false" customHeight="false" outlineLevel="0" collapsed="false">
      <c r="D42" s="12" t="n">
        <v>39</v>
      </c>
      <c r="E42" s="13"/>
      <c r="F42" s="14" t="str">
        <f aca="false">IF(E42="","",$B$7*(E42-$B$3)^2)</f>
        <v/>
      </c>
      <c r="H42" s="15" t="n">
        <f aca="false">$B$3-2*$B$4+38*$B$4/10</f>
        <v>518</v>
      </c>
      <c r="I42" s="16" t="n">
        <f aca="false">$B$7*(H42-$B$3)^2</f>
        <v>8.1</v>
      </c>
      <c r="J42" s="16" t="n">
        <f aca="false">$B$5</f>
        <v>2.5</v>
      </c>
    </row>
    <row r="43" customFormat="false" ht="15" hidden="false" customHeight="false" outlineLevel="0" collapsed="false">
      <c r="D43" s="12" t="n">
        <v>40</v>
      </c>
      <c r="E43" s="13"/>
      <c r="F43" s="14" t="str">
        <f aca="false">IF(E43="","",$B$7*(E43-$B$3)^2)</f>
        <v/>
      </c>
      <c r="H43" s="15" t="n">
        <f aca="false">$B$3-2*$B$4+39*$B$4/10</f>
        <v>519</v>
      </c>
      <c r="I43" s="16" t="n">
        <f aca="false">$B$7*(H43-$B$3)^2</f>
        <v>9.025</v>
      </c>
      <c r="J43" s="16" t="n">
        <f aca="false">$B$5</f>
        <v>2.5</v>
      </c>
    </row>
    <row r="44" customFormat="false" ht="15" hidden="false" customHeight="false" outlineLevel="0" collapsed="false">
      <c r="D44" s="12" t="n">
        <v>41</v>
      </c>
      <c r="E44" s="13"/>
      <c r="F44" s="14" t="str">
        <f aca="false">IF(E44="","",$B$7*(E44-$B$3)^2)</f>
        <v/>
      </c>
      <c r="H44" s="15" t="n">
        <f aca="false">$B$3-2*$B$4+40*$B$4/10</f>
        <v>520</v>
      </c>
      <c r="I44" s="16" t="n">
        <f aca="false">$B$7*(H44-$B$3)^2</f>
        <v>10</v>
      </c>
      <c r="J44" s="16" t="n">
        <f aca="false">$B$5</f>
        <v>2.5</v>
      </c>
    </row>
    <row r="45" customFormat="false" ht="15" hidden="false" customHeight="false" outlineLevel="0" collapsed="false">
      <c r="D45" s="12" t="n">
        <v>42</v>
      </c>
      <c r="E45" s="13"/>
      <c r="F45" s="14" t="str">
        <f aca="false">IF(E45="","",$B$7*(E45-$B$3)^2)</f>
        <v/>
      </c>
    </row>
    <row r="46" customFormat="false" ht="15" hidden="false" customHeight="false" outlineLevel="0" collapsed="false">
      <c r="D46" s="12" t="n">
        <v>43</v>
      </c>
      <c r="E46" s="13"/>
      <c r="F46" s="14" t="str">
        <f aca="false">IF(E46="","",$B$7*(E46-$B$3)^2)</f>
        <v/>
      </c>
    </row>
    <row r="47" customFormat="false" ht="15" hidden="false" customHeight="false" outlineLevel="0" collapsed="false">
      <c r="D47" s="12" t="n">
        <v>44</v>
      </c>
      <c r="E47" s="13"/>
      <c r="F47" s="14" t="str">
        <f aca="false">IF(E47="","",$B$7*(E47-$B$3)^2)</f>
        <v/>
      </c>
    </row>
    <row r="48" customFormat="false" ht="15" hidden="false" customHeight="false" outlineLevel="0" collapsed="false">
      <c r="D48" s="12" t="n">
        <v>45</v>
      </c>
      <c r="E48" s="13"/>
      <c r="F48" s="14" t="str">
        <f aca="false">IF(E48="","",$B$7*(E48-$B$3)^2)</f>
        <v/>
      </c>
    </row>
    <row r="49" customFormat="false" ht="15" hidden="false" customHeight="false" outlineLevel="0" collapsed="false">
      <c r="D49" s="12" t="n">
        <v>46</v>
      </c>
      <c r="E49" s="13"/>
      <c r="F49" s="14" t="str">
        <f aca="false">IF(E49="","",$B$7*(E49-$B$3)^2)</f>
        <v/>
      </c>
    </row>
    <row r="50" customFormat="false" ht="15" hidden="false" customHeight="false" outlineLevel="0" collapsed="false">
      <c r="D50" s="12" t="n">
        <v>47</v>
      </c>
      <c r="E50" s="13"/>
      <c r="F50" s="14" t="str">
        <f aca="false">IF(E50="","",$B$7*(E50-$B$3)^2)</f>
        <v/>
      </c>
    </row>
    <row r="51" customFormat="false" ht="15" hidden="false" customHeight="false" outlineLevel="0" collapsed="false">
      <c r="D51" s="12" t="n">
        <v>48</v>
      </c>
      <c r="E51" s="13"/>
      <c r="F51" s="14" t="str">
        <f aca="false">IF(E51="","",$B$7*(E51-$B$3)^2)</f>
        <v/>
      </c>
    </row>
    <row r="52" customFormat="false" ht="15" hidden="false" customHeight="false" outlineLevel="0" collapsed="false">
      <c r="D52" s="12" t="n">
        <v>49</v>
      </c>
      <c r="E52" s="13"/>
      <c r="F52" s="14" t="str">
        <f aca="false">IF(E52="","",$B$7*(E52-$B$3)^2)</f>
        <v/>
      </c>
    </row>
    <row r="53" customFormat="false" ht="15" hidden="false" customHeight="false" outlineLevel="0" collapsed="false">
      <c r="D53" s="12" t="n">
        <v>50</v>
      </c>
      <c r="E53" s="13"/>
      <c r="F53" s="14" t="str">
        <f aca="false">IF(E53="","",$B$7*(E53-$B$3)^2)</f>
        <v/>
      </c>
    </row>
    <row r="54" customFormat="false" ht="15" hidden="false" customHeight="false" outlineLevel="0" collapsed="false">
      <c r="D54" s="12" t="n">
        <v>51</v>
      </c>
      <c r="E54" s="13"/>
      <c r="F54" s="14" t="str">
        <f aca="false">IF(E54="","",$B$7*(E54-$B$3)^2)</f>
        <v/>
      </c>
    </row>
    <row r="55" customFormat="false" ht="15" hidden="false" customHeight="false" outlineLevel="0" collapsed="false">
      <c r="D55" s="12" t="n">
        <v>52</v>
      </c>
      <c r="E55" s="13"/>
      <c r="F55" s="14" t="str">
        <f aca="false">IF(E55="","",$B$7*(E55-$B$3)^2)</f>
        <v/>
      </c>
    </row>
    <row r="56" customFormat="false" ht="15" hidden="false" customHeight="false" outlineLevel="0" collapsed="false">
      <c r="D56" s="12" t="n">
        <v>53</v>
      </c>
      <c r="E56" s="13"/>
      <c r="F56" s="14" t="str">
        <f aca="false">IF(E56="","",$B$7*(E56-$B$3)^2)</f>
        <v/>
      </c>
    </row>
    <row r="57" customFormat="false" ht="15" hidden="false" customHeight="false" outlineLevel="0" collapsed="false">
      <c r="D57" s="12" t="n">
        <v>54</v>
      </c>
      <c r="E57" s="13"/>
      <c r="F57" s="14" t="str">
        <f aca="false">IF(E57="","",$B$7*(E57-$B$3)^2)</f>
        <v/>
      </c>
    </row>
    <row r="58" customFormat="false" ht="15" hidden="false" customHeight="false" outlineLevel="0" collapsed="false">
      <c r="D58" s="12" t="n">
        <v>55</v>
      </c>
      <c r="E58" s="13"/>
      <c r="F58" s="14" t="str">
        <f aca="false">IF(E58="","",$B$7*(E58-$B$3)^2)</f>
        <v/>
      </c>
    </row>
    <row r="59" customFormat="false" ht="15" hidden="false" customHeight="false" outlineLevel="0" collapsed="false">
      <c r="D59" s="12" t="n">
        <v>56</v>
      </c>
      <c r="E59" s="13"/>
      <c r="F59" s="14" t="str">
        <f aca="false">IF(E59="","",$B$7*(E59-$B$3)^2)</f>
        <v/>
      </c>
    </row>
    <row r="60" customFormat="false" ht="15" hidden="false" customHeight="false" outlineLevel="0" collapsed="false">
      <c r="D60" s="12" t="n">
        <v>57</v>
      </c>
      <c r="E60" s="13"/>
      <c r="F60" s="14" t="str">
        <f aca="false">IF(E60="","",$B$7*(E60-$B$3)^2)</f>
        <v/>
      </c>
    </row>
    <row r="61" customFormat="false" ht="15" hidden="false" customHeight="false" outlineLevel="0" collapsed="false">
      <c r="D61" s="12" t="n">
        <v>58</v>
      </c>
      <c r="E61" s="13"/>
      <c r="F61" s="14" t="str">
        <f aca="false">IF(E61="","",$B$7*(E61-$B$3)^2)</f>
        <v/>
      </c>
    </row>
    <row r="62" customFormat="false" ht="15" hidden="false" customHeight="false" outlineLevel="0" collapsed="false">
      <c r="D62" s="12" t="n">
        <v>59</v>
      </c>
      <c r="E62" s="13"/>
      <c r="F62" s="14" t="str">
        <f aca="false">IF(E62="","",$B$7*(E62-$B$3)^2)</f>
        <v/>
      </c>
    </row>
    <row r="63" customFormat="false" ht="15" hidden="false" customHeight="false" outlineLevel="0" collapsed="false">
      <c r="D63" s="12" t="n">
        <v>60</v>
      </c>
      <c r="E63" s="13"/>
      <c r="F63" s="14" t="str">
        <f aca="false">IF(E63="","",$B$7*(E63-$B$3)^2)</f>
        <v/>
      </c>
    </row>
    <row r="64" customFormat="false" ht="15" hidden="false" customHeight="false" outlineLevel="0" collapsed="false">
      <c r="D64" s="12" t="n">
        <v>61</v>
      </c>
      <c r="E64" s="13"/>
      <c r="F64" s="14" t="str">
        <f aca="false">IF(E64="","",$B$7*(E64-$B$3)^2)</f>
        <v/>
      </c>
    </row>
    <row r="65" customFormat="false" ht="15" hidden="false" customHeight="false" outlineLevel="0" collapsed="false">
      <c r="D65" s="12" t="n">
        <v>62</v>
      </c>
      <c r="E65" s="13"/>
      <c r="F65" s="14" t="str">
        <f aca="false">IF(E65="","",$B$7*(E65-$B$3)^2)</f>
        <v/>
      </c>
    </row>
    <row r="66" customFormat="false" ht="15" hidden="false" customHeight="false" outlineLevel="0" collapsed="false">
      <c r="D66" s="12" t="n">
        <v>63</v>
      </c>
      <c r="E66" s="13"/>
      <c r="F66" s="14" t="str">
        <f aca="false">IF(E66="","",$B$7*(E66-$B$3)^2)</f>
        <v/>
      </c>
    </row>
    <row r="67" customFormat="false" ht="15" hidden="false" customHeight="false" outlineLevel="0" collapsed="false">
      <c r="D67" s="12" t="n">
        <v>64</v>
      </c>
      <c r="E67" s="13"/>
      <c r="F67" s="14" t="str">
        <f aca="false">IF(E67="","",$B$7*(E67-$B$3)^2)</f>
        <v/>
      </c>
    </row>
    <row r="68" customFormat="false" ht="15" hidden="false" customHeight="false" outlineLevel="0" collapsed="false">
      <c r="D68" s="12" t="n">
        <v>65</v>
      </c>
      <c r="E68" s="13"/>
      <c r="F68" s="14" t="str">
        <f aca="false">IF(E68="","",$B$7*(E68-$B$3)^2)</f>
        <v/>
      </c>
    </row>
    <row r="69" customFormat="false" ht="15" hidden="false" customHeight="false" outlineLevel="0" collapsed="false">
      <c r="D69" s="12" t="n">
        <v>66</v>
      </c>
      <c r="E69" s="13"/>
      <c r="F69" s="14" t="str">
        <f aca="false">IF(E69="","",$B$7*(E69-$B$3)^2)</f>
        <v/>
      </c>
    </row>
    <row r="70" customFormat="false" ht="15" hidden="false" customHeight="false" outlineLevel="0" collapsed="false">
      <c r="D70" s="12" t="n">
        <v>67</v>
      </c>
      <c r="E70" s="13"/>
      <c r="F70" s="14" t="str">
        <f aca="false">IF(E70="","",$B$7*(E70-$B$3)^2)</f>
        <v/>
      </c>
    </row>
    <row r="71" customFormat="false" ht="15" hidden="false" customHeight="false" outlineLevel="0" collapsed="false">
      <c r="D71" s="12" t="n">
        <v>68</v>
      </c>
      <c r="E71" s="13"/>
      <c r="F71" s="14" t="str">
        <f aca="false">IF(E71="","",$B$7*(E71-$B$3)^2)</f>
        <v/>
      </c>
    </row>
    <row r="72" customFormat="false" ht="15" hidden="false" customHeight="false" outlineLevel="0" collapsed="false">
      <c r="D72" s="12" t="n">
        <v>69</v>
      </c>
      <c r="E72" s="13"/>
      <c r="F72" s="14" t="str">
        <f aca="false">IF(E72="","",$B$7*(E72-$B$3)^2)</f>
        <v/>
      </c>
    </row>
    <row r="73" customFormat="false" ht="15" hidden="false" customHeight="false" outlineLevel="0" collapsed="false">
      <c r="D73" s="12" t="n">
        <v>70</v>
      </c>
      <c r="E73" s="13"/>
      <c r="F73" s="14" t="str">
        <f aca="false">IF(E73="","",$B$7*(E73-$B$3)^2)</f>
        <v/>
      </c>
    </row>
    <row r="74" customFormat="false" ht="15" hidden="false" customHeight="false" outlineLevel="0" collapsed="false">
      <c r="D74" s="12" t="n">
        <v>71</v>
      </c>
      <c r="E74" s="13"/>
      <c r="F74" s="14" t="str">
        <f aca="false">IF(E74="","",$B$7*(E74-$B$3)^2)</f>
        <v/>
      </c>
    </row>
    <row r="75" customFormat="false" ht="15" hidden="false" customHeight="false" outlineLevel="0" collapsed="false">
      <c r="D75" s="12" t="n">
        <v>72</v>
      </c>
      <c r="E75" s="13"/>
      <c r="F75" s="14" t="str">
        <f aca="false">IF(E75="","",$B$7*(E75-$B$3)^2)</f>
        <v/>
      </c>
    </row>
    <row r="76" customFormat="false" ht="15" hidden="false" customHeight="false" outlineLevel="0" collapsed="false">
      <c r="D76" s="12" t="n">
        <v>73</v>
      </c>
      <c r="E76" s="13"/>
      <c r="F76" s="14" t="str">
        <f aca="false">IF(E76="","",$B$7*(E76-$B$3)^2)</f>
        <v/>
      </c>
    </row>
    <row r="77" customFormat="false" ht="15" hidden="false" customHeight="false" outlineLevel="0" collapsed="false">
      <c r="D77" s="12" t="n">
        <v>74</v>
      </c>
      <c r="E77" s="13"/>
      <c r="F77" s="14" t="str">
        <f aca="false">IF(E77="","",$B$7*(E77-$B$3)^2)</f>
        <v/>
      </c>
    </row>
    <row r="78" customFormat="false" ht="15" hidden="false" customHeight="false" outlineLevel="0" collapsed="false">
      <c r="D78" s="12" t="n">
        <v>75</v>
      </c>
      <c r="E78" s="13"/>
      <c r="F78" s="14" t="str">
        <f aca="false">IF(E78="","",$B$7*(E78-$B$3)^2)</f>
        <v/>
      </c>
    </row>
    <row r="79" customFormat="false" ht="15" hidden="false" customHeight="false" outlineLevel="0" collapsed="false">
      <c r="D79" s="12" t="n">
        <v>76</v>
      </c>
      <c r="E79" s="13"/>
      <c r="F79" s="14" t="str">
        <f aca="false">IF(E79="","",$B$7*(E79-$B$3)^2)</f>
        <v/>
      </c>
    </row>
    <row r="80" customFormat="false" ht="15" hidden="false" customHeight="false" outlineLevel="0" collapsed="false">
      <c r="D80" s="12" t="n">
        <v>77</v>
      </c>
      <c r="E80" s="13"/>
      <c r="F80" s="14" t="str">
        <f aca="false">IF(E80="","",$B$7*(E80-$B$3)^2)</f>
        <v/>
      </c>
    </row>
    <row r="81" customFormat="false" ht="15" hidden="false" customHeight="false" outlineLevel="0" collapsed="false">
      <c r="D81" s="12" t="n">
        <v>78</v>
      </c>
      <c r="E81" s="13"/>
      <c r="F81" s="14" t="str">
        <f aca="false">IF(E81="","",$B$7*(E81-$B$3)^2)</f>
        <v/>
      </c>
    </row>
    <row r="82" customFormat="false" ht="15" hidden="false" customHeight="false" outlineLevel="0" collapsed="false">
      <c r="D82" s="12" t="n">
        <v>79</v>
      </c>
      <c r="E82" s="13"/>
      <c r="F82" s="14" t="str">
        <f aca="false">IF(E82="","",$B$7*(E82-$B$3)^2)</f>
        <v/>
      </c>
    </row>
    <row r="83" customFormat="false" ht="15" hidden="false" customHeight="false" outlineLevel="0" collapsed="false">
      <c r="D83" s="12" t="n">
        <v>80</v>
      </c>
      <c r="E83" s="13"/>
      <c r="F83" s="14" t="str">
        <f aca="false">IF(E83="","",$B$7*(E83-$B$3)^2)</f>
        <v/>
      </c>
    </row>
    <row r="84" customFormat="false" ht="15" hidden="false" customHeight="false" outlineLevel="0" collapsed="false">
      <c r="D84" s="12" t="n">
        <v>81</v>
      </c>
      <c r="E84" s="13"/>
      <c r="F84" s="14" t="str">
        <f aca="false">IF(E84="","",$B$7*(E84-$B$3)^2)</f>
        <v/>
      </c>
    </row>
    <row r="85" customFormat="false" ht="15" hidden="false" customHeight="false" outlineLevel="0" collapsed="false">
      <c r="D85" s="12" t="n">
        <v>82</v>
      </c>
      <c r="E85" s="13"/>
      <c r="F85" s="14" t="str">
        <f aca="false">IF(E85="","",$B$7*(E85-$B$3)^2)</f>
        <v/>
      </c>
    </row>
    <row r="86" customFormat="false" ht="15" hidden="false" customHeight="false" outlineLevel="0" collapsed="false">
      <c r="D86" s="12" t="n">
        <v>83</v>
      </c>
      <c r="E86" s="13"/>
      <c r="F86" s="14" t="str">
        <f aca="false">IF(E86="","",$B$7*(E86-$B$3)^2)</f>
        <v/>
      </c>
    </row>
    <row r="87" customFormat="false" ht="15" hidden="false" customHeight="false" outlineLevel="0" collapsed="false">
      <c r="D87" s="12" t="n">
        <v>84</v>
      </c>
      <c r="E87" s="13"/>
      <c r="F87" s="14" t="str">
        <f aca="false">IF(E87="","",$B$7*(E87-$B$3)^2)</f>
        <v/>
      </c>
    </row>
    <row r="88" customFormat="false" ht="15" hidden="false" customHeight="false" outlineLevel="0" collapsed="false">
      <c r="D88" s="12" t="n">
        <v>85</v>
      </c>
      <c r="E88" s="13"/>
      <c r="F88" s="14" t="str">
        <f aca="false">IF(E88="","",$B$7*(E88-$B$3)^2)</f>
        <v/>
      </c>
    </row>
    <row r="89" customFormat="false" ht="15" hidden="false" customHeight="false" outlineLevel="0" collapsed="false">
      <c r="D89" s="12" t="n">
        <v>86</v>
      </c>
      <c r="E89" s="13"/>
      <c r="F89" s="14" t="str">
        <f aca="false">IF(E89="","",$B$7*(E89-$B$3)^2)</f>
        <v/>
      </c>
    </row>
    <row r="90" customFormat="false" ht="15" hidden="false" customHeight="false" outlineLevel="0" collapsed="false">
      <c r="D90" s="12" t="n">
        <v>87</v>
      </c>
      <c r="E90" s="13"/>
      <c r="F90" s="14" t="str">
        <f aca="false">IF(E90="","",$B$7*(E90-$B$3)^2)</f>
        <v/>
      </c>
    </row>
    <row r="91" customFormat="false" ht="15" hidden="false" customHeight="false" outlineLevel="0" collapsed="false">
      <c r="D91" s="12" t="n">
        <v>88</v>
      </c>
      <c r="E91" s="13"/>
      <c r="F91" s="14" t="str">
        <f aca="false">IF(E91="","",$B$7*(E91-$B$3)^2)</f>
        <v/>
      </c>
    </row>
    <row r="92" customFormat="false" ht="15" hidden="false" customHeight="false" outlineLevel="0" collapsed="false">
      <c r="D92" s="12" t="n">
        <v>89</v>
      </c>
      <c r="E92" s="13"/>
      <c r="F92" s="14" t="str">
        <f aca="false">IF(E92="","",$B$7*(E92-$B$3)^2)</f>
        <v/>
      </c>
    </row>
    <row r="93" customFormat="false" ht="15" hidden="false" customHeight="false" outlineLevel="0" collapsed="false">
      <c r="D93" s="12" t="n">
        <v>90</v>
      </c>
      <c r="E93" s="13"/>
      <c r="F93" s="14" t="str">
        <f aca="false">IF(E93="","",$B$7*(E93-$B$3)^2)</f>
        <v/>
      </c>
    </row>
    <row r="94" customFormat="false" ht="15" hidden="false" customHeight="false" outlineLevel="0" collapsed="false">
      <c r="D94" s="12" t="n">
        <v>91</v>
      </c>
      <c r="E94" s="13"/>
      <c r="F94" s="14" t="str">
        <f aca="false">IF(E94="","",$B$7*(E94-$B$3)^2)</f>
        <v/>
      </c>
    </row>
    <row r="95" customFormat="false" ht="15" hidden="false" customHeight="false" outlineLevel="0" collapsed="false">
      <c r="D95" s="12" t="n">
        <v>92</v>
      </c>
      <c r="E95" s="13"/>
      <c r="F95" s="14" t="str">
        <f aca="false">IF(E95="","",$B$7*(E95-$B$3)^2)</f>
        <v/>
      </c>
    </row>
    <row r="96" customFormat="false" ht="15" hidden="false" customHeight="false" outlineLevel="0" collapsed="false">
      <c r="D96" s="12" t="n">
        <v>93</v>
      </c>
      <c r="E96" s="13"/>
      <c r="F96" s="14" t="str">
        <f aca="false">IF(E96="","",$B$7*(E96-$B$3)^2)</f>
        <v/>
      </c>
    </row>
    <row r="97" customFormat="false" ht="15" hidden="false" customHeight="false" outlineLevel="0" collapsed="false">
      <c r="D97" s="12" t="n">
        <v>94</v>
      </c>
      <c r="E97" s="13"/>
      <c r="F97" s="14" t="str">
        <f aca="false">IF(E97="","",$B$7*(E97-$B$3)^2)</f>
        <v/>
      </c>
    </row>
    <row r="98" customFormat="false" ht="15" hidden="false" customHeight="false" outlineLevel="0" collapsed="false">
      <c r="D98" s="12" t="n">
        <v>95</v>
      </c>
      <c r="E98" s="13"/>
      <c r="F98" s="14" t="str">
        <f aca="false">IF(E98="","",$B$7*(E98-$B$3)^2)</f>
        <v/>
      </c>
    </row>
    <row r="99" customFormat="false" ht="15" hidden="false" customHeight="false" outlineLevel="0" collapsed="false">
      <c r="D99" s="12" t="n">
        <v>96</v>
      </c>
      <c r="E99" s="13"/>
      <c r="F99" s="14" t="str">
        <f aca="false">IF(E99="","",$B$7*(E99-$B$3)^2)</f>
        <v/>
      </c>
    </row>
    <row r="100" customFormat="false" ht="15" hidden="false" customHeight="false" outlineLevel="0" collapsed="false">
      <c r="D100" s="12" t="n">
        <v>97</v>
      </c>
      <c r="E100" s="13"/>
      <c r="F100" s="14" t="str">
        <f aca="false">IF(E100="","",$B$7*(E100-$B$3)^2)</f>
        <v/>
      </c>
    </row>
    <row r="101" customFormat="false" ht="15" hidden="false" customHeight="false" outlineLevel="0" collapsed="false">
      <c r="D101" s="12" t="n">
        <v>98</v>
      </c>
      <c r="E101" s="13"/>
      <c r="F101" s="14" t="str">
        <f aca="false">IF(E101="","",$B$7*(E101-$B$3)^2)</f>
        <v/>
      </c>
    </row>
    <row r="102" customFormat="false" ht="15" hidden="false" customHeight="false" outlineLevel="0" collapsed="false">
      <c r="D102" s="12" t="n">
        <v>99</v>
      </c>
      <c r="E102" s="13"/>
      <c r="F102" s="14" t="str">
        <f aca="false">IF(E102="","",$B$7*(E102-$B$3)^2)</f>
        <v/>
      </c>
    </row>
    <row r="103" customFormat="false" ht="15" hidden="false" customHeight="false" outlineLevel="0" collapsed="false">
      <c r="D103" s="12" t="n">
        <v>100</v>
      </c>
      <c r="E103" s="13"/>
      <c r="F103" s="14" t="str">
        <f aca="false">IF(E103="","",$B$7*(E103-$B$3)^2)</f>
        <v/>
      </c>
    </row>
    <row r="104" customFormat="false" ht="15" hidden="false" customHeight="false" outlineLevel="0" collapsed="false">
      <c r="D104" s="12" t="n">
        <v>101</v>
      </c>
      <c r="E104" s="13"/>
      <c r="F104" s="14" t="str">
        <f aca="false">IF(E104="","",$B$7*(E104-$B$3)^2)</f>
        <v/>
      </c>
    </row>
    <row r="105" customFormat="false" ht="15" hidden="false" customHeight="false" outlineLevel="0" collapsed="false">
      <c r="D105" s="12" t="n">
        <v>102</v>
      </c>
      <c r="E105" s="13"/>
      <c r="F105" s="14" t="str">
        <f aca="false">IF(E105="","",$B$7*(E105-$B$3)^2)</f>
        <v/>
      </c>
    </row>
    <row r="106" customFormat="false" ht="15" hidden="false" customHeight="false" outlineLevel="0" collapsed="false">
      <c r="D106" s="12" t="n">
        <v>103</v>
      </c>
      <c r="E106" s="13"/>
      <c r="F106" s="14" t="str">
        <f aca="false">IF(E106="","",$B$7*(E106-$B$3)^2)</f>
        <v/>
      </c>
    </row>
    <row r="107" customFormat="false" ht="15" hidden="false" customHeight="false" outlineLevel="0" collapsed="false">
      <c r="D107" s="12" t="n">
        <v>104</v>
      </c>
      <c r="E107" s="13"/>
      <c r="F107" s="14" t="str">
        <f aca="false">IF(E107="","",$B$7*(E107-$B$3)^2)</f>
        <v/>
      </c>
    </row>
    <row r="108" customFormat="false" ht="15" hidden="false" customHeight="false" outlineLevel="0" collapsed="false">
      <c r="D108" s="12" t="n">
        <v>105</v>
      </c>
      <c r="E108" s="13"/>
      <c r="F108" s="14" t="str">
        <f aca="false">IF(E108="","",$B$7*(E108-$B$3)^2)</f>
        <v/>
      </c>
    </row>
    <row r="109" customFormat="false" ht="15" hidden="false" customHeight="false" outlineLevel="0" collapsed="false">
      <c r="D109" s="12" t="n">
        <v>106</v>
      </c>
      <c r="E109" s="13"/>
      <c r="F109" s="14" t="str">
        <f aca="false">IF(E109="","",$B$7*(E109-$B$3)^2)</f>
        <v/>
      </c>
    </row>
    <row r="110" customFormat="false" ht="15" hidden="false" customHeight="false" outlineLevel="0" collapsed="false">
      <c r="D110" s="12" t="n">
        <v>107</v>
      </c>
      <c r="E110" s="13"/>
      <c r="F110" s="14" t="str">
        <f aca="false">IF(E110="","",$B$7*(E110-$B$3)^2)</f>
        <v/>
      </c>
    </row>
    <row r="111" customFormat="false" ht="15" hidden="false" customHeight="false" outlineLevel="0" collapsed="false">
      <c r="D111" s="12" t="n">
        <v>108</v>
      </c>
      <c r="E111" s="13"/>
      <c r="F111" s="14" t="str">
        <f aca="false">IF(E111="","",$B$7*(E111-$B$3)^2)</f>
        <v/>
      </c>
    </row>
    <row r="112" customFormat="false" ht="15" hidden="false" customHeight="false" outlineLevel="0" collapsed="false">
      <c r="D112" s="12" t="n">
        <v>109</v>
      </c>
      <c r="E112" s="13"/>
      <c r="F112" s="14" t="str">
        <f aca="false">IF(E112="","",$B$7*(E112-$B$3)^2)</f>
        <v/>
      </c>
    </row>
    <row r="113" customFormat="false" ht="15" hidden="false" customHeight="false" outlineLevel="0" collapsed="false">
      <c r="D113" s="12" t="n">
        <v>110</v>
      </c>
      <c r="E113" s="13"/>
      <c r="F113" s="14" t="str">
        <f aca="false">IF(E113="","",$B$7*(E113-$B$3)^2)</f>
        <v/>
      </c>
    </row>
    <row r="114" customFormat="false" ht="15" hidden="false" customHeight="false" outlineLevel="0" collapsed="false">
      <c r="D114" s="12" t="n">
        <v>111</v>
      </c>
      <c r="E114" s="13"/>
      <c r="F114" s="14" t="str">
        <f aca="false">IF(E114="","",$B$7*(E114-$B$3)^2)</f>
        <v/>
      </c>
    </row>
    <row r="115" customFormat="false" ht="15" hidden="false" customHeight="false" outlineLevel="0" collapsed="false">
      <c r="D115" s="12" t="n">
        <v>112</v>
      </c>
      <c r="E115" s="13"/>
      <c r="F115" s="14" t="str">
        <f aca="false">IF(E115="","",$B$7*(E115-$B$3)^2)</f>
        <v/>
      </c>
    </row>
    <row r="116" customFormat="false" ht="15" hidden="false" customHeight="false" outlineLevel="0" collapsed="false">
      <c r="D116" s="12" t="n">
        <v>113</v>
      </c>
      <c r="E116" s="13"/>
      <c r="F116" s="14" t="str">
        <f aca="false">IF(E116="","",$B$7*(E116-$B$3)^2)</f>
        <v/>
      </c>
    </row>
    <row r="117" customFormat="false" ht="15" hidden="false" customHeight="false" outlineLevel="0" collapsed="false">
      <c r="D117" s="12" t="n">
        <v>114</v>
      </c>
      <c r="E117" s="13"/>
      <c r="F117" s="14" t="str">
        <f aca="false">IF(E117="","",$B$7*(E117-$B$3)^2)</f>
        <v/>
      </c>
    </row>
    <row r="118" customFormat="false" ht="15" hidden="false" customHeight="false" outlineLevel="0" collapsed="false">
      <c r="D118" s="12" t="n">
        <v>115</v>
      </c>
      <c r="E118" s="13"/>
      <c r="F118" s="14" t="str">
        <f aca="false">IF(E118="","",$B$7*(E118-$B$3)^2)</f>
        <v/>
      </c>
    </row>
    <row r="119" customFormat="false" ht="15" hidden="false" customHeight="false" outlineLevel="0" collapsed="false">
      <c r="D119" s="12" t="n">
        <v>116</v>
      </c>
      <c r="E119" s="13"/>
      <c r="F119" s="14" t="str">
        <f aca="false">IF(E119="","",$B$7*(E119-$B$3)^2)</f>
        <v/>
      </c>
    </row>
    <row r="120" customFormat="false" ht="15" hidden="false" customHeight="false" outlineLevel="0" collapsed="false">
      <c r="D120" s="12" t="n">
        <v>117</v>
      </c>
      <c r="E120" s="13"/>
      <c r="F120" s="14" t="str">
        <f aca="false">IF(E120="","",$B$7*(E120-$B$3)^2)</f>
        <v/>
      </c>
    </row>
    <row r="121" customFormat="false" ht="15" hidden="false" customHeight="false" outlineLevel="0" collapsed="false">
      <c r="D121" s="12" t="n">
        <v>118</v>
      </c>
      <c r="E121" s="13"/>
      <c r="F121" s="14" t="str">
        <f aca="false">IF(E121="","",$B$7*(E121-$B$3)^2)</f>
        <v/>
      </c>
    </row>
    <row r="122" customFormat="false" ht="15" hidden="false" customHeight="false" outlineLevel="0" collapsed="false">
      <c r="D122" s="12" t="n">
        <v>119</v>
      </c>
      <c r="E122" s="13"/>
      <c r="F122" s="14" t="str">
        <f aca="false">IF(E122="","",$B$7*(E122-$B$3)^2)</f>
        <v/>
      </c>
    </row>
    <row r="123" customFormat="false" ht="15" hidden="false" customHeight="false" outlineLevel="0" collapsed="false">
      <c r="D123" s="12" t="n">
        <v>120</v>
      </c>
      <c r="E123" s="13"/>
      <c r="F123" s="14" t="str">
        <f aca="false">IF(E123="","",$B$7*(E123-$B$3)^2)</f>
        <v/>
      </c>
    </row>
    <row r="124" customFormat="false" ht="15" hidden="false" customHeight="false" outlineLevel="0" collapsed="false">
      <c r="D124" s="12" t="n">
        <v>121</v>
      </c>
      <c r="E124" s="13"/>
      <c r="F124" s="14" t="str">
        <f aca="false">IF(E124="","",$B$7*(E124-$B$3)^2)</f>
        <v/>
      </c>
    </row>
    <row r="125" customFormat="false" ht="15" hidden="false" customHeight="false" outlineLevel="0" collapsed="false">
      <c r="D125" s="12" t="n">
        <v>122</v>
      </c>
      <c r="E125" s="13"/>
      <c r="F125" s="14" t="str">
        <f aca="false">IF(E125="","",$B$7*(E125-$B$3)^2)</f>
        <v/>
      </c>
    </row>
    <row r="126" customFormat="false" ht="15" hidden="false" customHeight="false" outlineLevel="0" collapsed="false">
      <c r="D126" s="12" t="n">
        <v>123</v>
      </c>
      <c r="E126" s="13"/>
      <c r="F126" s="14" t="str">
        <f aca="false">IF(E126="","",$B$7*(E126-$B$3)^2)</f>
        <v/>
      </c>
    </row>
    <row r="127" customFormat="false" ht="15" hidden="false" customHeight="false" outlineLevel="0" collapsed="false">
      <c r="D127" s="12" t="n">
        <v>124</v>
      </c>
      <c r="E127" s="13"/>
      <c r="F127" s="14" t="str">
        <f aca="false">IF(E127="","",$B$7*(E127-$B$3)^2)</f>
        <v/>
      </c>
    </row>
    <row r="128" customFormat="false" ht="15" hidden="false" customHeight="false" outlineLevel="0" collapsed="false">
      <c r="D128" s="12" t="n">
        <v>125</v>
      </c>
      <c r="E128" s="13"/>
      <c r="F128" s="14" t="str">
        <f aca="false">IF(E128="","",$B$7*(E128-$B$3)^2)</f>
        <v/>
      </c>
    </row>
    <row r="129" customFormat="false" ht="15" hidden="false" customHeight="false" outlineLevel="0" collapsed="false">
      <c r="D129" s="12" t="n">
        <v>126</v>
      </c>
      <c r="E129" s="13"/>
      <c r="F129" s="14" t="str">
        <f aca="false">IF(E129="","",$B$7*(E129-$B$3)^2)</f>
        <v/>
      </c>
    </row>
    <row r="130" customFormat="false" ht="15" hidden="false" customHeight="false" outlineLevel="0" collapsed="false">
      <c r="D130" s="12" t="n">
        <v>127</v>
      </c>
      <c r="E130" s="13"/>
      <c r="F130" s="14" t="str">
        <f aca="false">IF(E130="","",$B$7*(E130-$B$3)^2)</f>
        <v/>
      </c>
    </row>
    <row r="131" customFormat="false" ht="15" hidden="false" customHeight="false" outlineLevel="0" collapsed="false">
      <c r="D131" s="12" t="n">
        <v>128</v>
      </c>
      <c r="E131" s="13"/>
      <c r="F131" s="14" t="str">
        <f aca="false">IF(E131="","",$B$7*(E131-$B$3)^2)</f>
        <v/>
      </c>
    </row>
    <row r="132" customFormat="false" ht="15" hidden="false" customHeight="false" outlineLevel="0" collapsed="false">
      <c r="D132" s="12" t="n">
        <v>129</v>
      </c>
      <c r="E132" s="13"/>
      <c r="F132" s="14" t="str">
        <f aca="false">IF(E132="","",$B$7*(E132-$B$3)^2)</f>
        <v/>
      </c>
    </row>
    <row r="133" customFormat="false" ht="15" hidden="false" customHeight="false" outlineLevel="0" collapsed="false">
      <c r="D133" s="12" t="n">
        <v>130</v>
      </c>
      <c r="E133" s="13"/>
      <c r="F133" s="14" t="str">
        <f aca="false">IF(E133="","",$B$7*(E133-$B$3)^2)</f>
        <v/>
      </c>
    </row>
    <row r="134" customFormat="false" ht="15" hidden="false" customHeight="false" outlineLevel="0" collapsed="false">
      <c r="D134" s="12" t="n">
        <v>131</v>
      </c>
      <c r="E134" s="13"/>
      <c r="F134" s="14" t="str">
        <f aca="false">IF(E134="","",$B$7*(E134-$B$3)^2)</f>
        <v/>
      </c>
    </row>
    <row r="135" customFormat="false" ht="15" hidden="false" customHeight="false" outlineLevel="0" collapsed="false">
      <c r="D135" s="12" t="n">
        <v>132</v>
      </c>
      <c r="E135" s="13"/>
      <c r="F135" s="14" t="str">
        <f aca="false">IF(E135="","",$B$7*(E135-$B$3)^2)</f>
        <v/>
      </c>
    </row>
    <row r="136" customFormat="false" ht="15" hidden="false" customHeight="false" outlineLevel="0" collapsed="false">
      <c r="D136" s="12" t="n">
        <v>133</v>
      </c>
      <c r="E136" s="13"/>
      <c r="F136" s="14" t="str">
        <f aca="false">IF(E136="","",$B$7*(E136-$B$3)^2)</f>
        <v/>
      </c>
    </row>
    <row r="137" customFormat="false" ht="15" hidden="false" customHeight="false" outlineLevel="0" collapsed="false">
      <c r="D137" s="12" t="n">
        <v>134</v>
      </c>
      <c r="E137" s="13"/>
      <c r="F137" s="14" t="str">
        <f aca="false">IF(E137="","",$B$7*(E137-$B$3)^2)</f>
        <v/>
      </c>
    </row>
    <row r="138" customFormat="false" ht="15" hidden="false" customHeight="false" outlineLevel="0" collapsed="false">
      <c r="D138" s="12" t="n">
        <v>135</v>
      </c>
      <c r="E138" s="13"/>
      <c r="F138" s="14" t="str">
        <f aca="false">IF(E138="","",$B$7*(E138-$B$3)^2)</f>
        <v/>
      </c>
    </row>
    <row r="139" customFormat="false" ht="15" hidden="false" customHeight="false" outlineLevel="0" collapsed="false">
      <c r="D139" s="12" t="n">
        <v>136</v>
      </c>
      <c r="E139" s="13"/>
      <c r="F139" s="14" t="str">
        <f aca="false">IF(E139="","",$B$7*(E139-$B$3)^2)</f>
        <v/>
      </c>
    </row>
    <row r="140" customFormat="false" ht="15" hidden="false" customHeight="false" outlineLevel="0" collapsed="false">
      <c r="D140" s="12" t="n">
        <v>137</v>
      </c>
      <c r="E140" s="13"/>
      <c r="F140" s="14" t="str">
        <f aca="false">IF(E140="","",$B$7*(E140-$B$3)^2)</f>
        <v/>
      </c>
    </row>
    <row r="141" customFormat="false" ht="15" hidden="false" customHeight="false" outlineLevel="0" collapsed="false">
      <c r="D141" s="12" t="n">
        <v>138</v>
      </c>
      <c r="E141" s="13"/>
      <c r="F141" s="14" t="str">
        <f aca="false">IF(E141="","",$B$7*(E141-$B$3)^2)</f>
        <v/>
      </c>
    </row>
    <row r="142" customFormat="false" ht="15" hidden="false" customHeight="false" outlineLevel="0" collapsed="false">
      <c r="D142" s="12" t="n">
        <v>139</v>
      </c>
      <c r="E142" s="13"/>
      <c r="F142" s="14" t="str">
        <f aca="false">IF(E142="","",$B$7*(E142-$B$3)^2)</f>
        <v/>
      </c>
    </row>
    <row r="143" customFormat="false" ht="15" hidden="false" customHeight="false" outlineLevel="0" collapsed="false">
      <c r="D143" s="12" t="n">
        <v>140</v>
      </c>
      <c r="E143" s="13"/>
      <c r="F143" s="14" t="str">
        <f aca="false">IF(E143="","",$B$7*(E143-$B$3)^2)</f>
        <v/>
      </c>
    </row>
    <row r="144" customFormat="false" ht="15" hidden="false" customHeight="false" outlineLevel="0" collapsed="false">
      <c r="D144" s="12" t="n">
        <v>141</v>
      </c>
      <c r="E144" s="13"/>
      <c r="F144" s="14" t="str">
        <f aca="false">IF(E144="","",$B$7*(E144-$B$3)^2)</f>
        <v/>
      </c>
    </row>
    <row r="145" customFormat="false" ht="15" hidden="false" customHeight="false" outlineLevel="0" collapsed="false">
      <c r="D145" s="12" t="n">
        <v>142</v>
      </c>
      <c r="E145" s="13"/>
      <c r="F145" s="14" t="str">
        <f aca="false">IF(E145="","",$B$7*(E145-$B$3)^2)</f>
        <v/>
      </c>
    </row>
    <row r="146" customFormat="false" ht="15" hidden="false" customHeight="false" outlineLevel="0" collapsed="false">
      <c r="D146" s="12" t="n">
        <v>143</v>
      </c>
      <c r="E146" s="13"/>
      <c r="F146" s="14" t="str">
        <f aca="false">IF(E146="","",$B$7*(E146-$B$3)^2)</f>
        <v/>
      </c>
    </row>
    <row r="147" customFormat="false" ht="15" hidden="false" customHeight="false" outlineLevel="0" collapsed="false">
      <c r="D147" s="12" t="n">
        <v>144</v>
      </c>
      <c r="E147" s="13"/>
      <c r="F147" s="14" t="str">
        <f aca="false">IF(E147="","",$B$7*(E147-$B$3)^2)</f>
        <v/>
      </c>
    </row>
    <row r="148" customFormat="false" ht="15" hidden="false" customHeight="false" outlineLevel="0" collapsed="false">
      <c r="D148" s="12" t="n">
        <v>145</v>
      </c>
      <c r="E148" s="13"/>
      <c r="F148" s="14" t="str">
        <f aca="false">IF(E148="","",$B$7*(E148-$B$3)^2)</f>
        <v/>
      </c>
    </row>
    <row r="149" customFormat="false" ht="15" hidden="false" customHeight="false" outlineLevel="0" collapsed="false">
      <c r="D149" s="12" t="n">
        <v>146</v>
      </c>
      <c r="E149" s="13"/>
      <c r="F149" s="14" t="str">
        <f aca="false">IF(E149="","",$B$7*(E149-$B$3)^2)</f>
        <v/>
      </c>
    </row>
    <row r="150" customFormat="false" ht="15" hidden="false" customHeight="false" outlineLevel="0" collapsed="false">
      <c r="D150" s="12" t="n">
        <v>147</v>
      </c>
      <c r="E150" s="13"/>
      <c r="F150" s="14" t="str">
        <f aca="false">IF(E150="","",$B$7*(E150-$B$3)^2)</f>
        <v/>
      </c>
    </row>
    <row r="151" customFormat="false" ht="15" hidden="false" customHeight="false" outlineLevel="0" collapsed="false">
      <c r="D151" s="12" t="n">
        <v>148</v>
      </c>
      <c r="E151" s="13"/>
      <c r="F151" s="14" t="str">
        <f aca="false">IF(E151="","",$B$7*(E151-$B$3)^2)</f>
        <v/>
      </c>
    </row>
    <row r="152" customFormat="false" ht="15" hidden="false" customHeight="false" outlineLevel="0" collapsed="false">
      <c r="D152" s="12" t="n">
        <v>149</v>
      </c>
      <c r="E152" s="13"/>
      <c r="F152" s="14" t="str">
        <f aca="false">IF(E152="","",$B$7*(E152-$B$3)^2)</f>
        <v/>
      </c>
    </row>
    <row r="153" customFormat="false" ht="15" hidden="false" customHeight="false" outlineLevel="0" collapsed="false">
      <c r="D153" s="12" t="n">
        <v>150</v>
      </c>
      <c r="E153" s="13"/>
      <c r="F153" s="14" t="str">
        <f aca="false">IF(E153="","",$B$7*(E153-$B$3)^2)</f>
        <v/>
      </c>
    </row>
    <row r="154" customFormat="false" ht="15" hidden="false" customHeight="false" outlineLevel="0" collapsed="false">
      <c r="D154" s="12" t="n">
        <v>151</v>
      </c>
      <c r="E154" s="13"/>
      <c r="F154" s="14" t="str">
        <f aca="false">IF(E154="","",$B$7*(E154-$B$3)^2)</f>
        <v/>
      </c>
    </row>
    <row r="155" customFormat="false" ht="15" hidden="false" customHeight="false" outlineLevel="0" collapsed="false">
      <c r="D155" s="12" t="n">
        <v>152</v>
      </c>
      <c r="E155" s="13"/>
      <c r="F155" s="14" t="str">
        <f aca="false">IF(E155="","",$B$7*(E155-$B$3)^2)</f>
        <v/>
      </c>
    </row>
    <row r="156" customFormat="false" ht="15" hidden="false" customHeight="false" outlineLevel="0" collapsed="false">
      <c r="D156" s="12" t="n">
        <v>153</v>
      </c>
      <c r="E156" s="13"/>
      <c r="F156" s="14" t="str">
        <f aca="false">IF(E156="","",$B$7*(E156-$B$3)^2)</f>
        <v/>
      </c>
    </row>
    <row r="157" customFormat="false" ht="15" hidden="false" customHeight="false" outlineLevel="0" collapsed="false">
      <c r="D157" s="12" t="n">
        <v>154</v>
      </c>
      <c r="E157" s="13"/>
      <c r="F157" s="14" t="str">
        <f aca="false">IF(E157="","",$B$7*(E157-$B$3)^2)</f>
        <v/>
      </c>
    </row>
    <row r="158" customFormat="false" ht="15" hidden="false" customHeight="false" outlineLevel="0" collapsed="false">
      <c r="D158" s="12" t="n">
        <v>155</v>
      </c>
      <c r="E158" s="13"/>
      <c r="F158" s="14" t="str">
        <f aca="false">IF(E158="","",$B$7*(E158-$B$3)^2)</f>
        <v/>
      </c>
    </row>
    <row r="159" customFormat="false" ht="15" hidden="false" customHeight="false" outlineLevel="0" collapsed="false">
      <c r="D159" s="12" t="n">
        <v>156</v>
      </c>
      <c r="E159" s="13"/>
      <c r="F159" s="14" t="str">
        <f aca="false">IF(E159="","",$B$7*(E159-$B$3)^2)</f>
        <v/>
      </c>
    </row>
    <row r="160" customFormat="false" ht="15" hidden="false" customHeight="false" outlineLevel="0" collapsed="false">
      <c r="D160" s="12" t="n">
        <v>157</v>
      </c>
      <c r="E160" s="13"/>
      <c r="F160" s="14" t="str">
        <f aca="false">IF(E160="","",$B$7*(E160-$B$3)^2)</f>
        <v/>
      </c>
    </row>
    <row r="161" customFormat="false" ht="15" hidden="false" customHeight="false" outlineLevel="0" collapsed="false">
      <c r="D161" s="12" t="n">
        <v>158</v>
      </c>
      <c r="E161" s="13"/>
      <c r="F161" s="14" t="str">
        <f aca="false">IF(E161="","",$B$7*(E161-$B$3)^2)</f>
        <v/>
      </c>
    </row>
    <row r="162" customFormat="false" ht="15" hidden="false" customHeight="false" outlineLevel="0" collapsed="false">
      <c r="D162" s="12" t="n">
        <v>159</v>
      </c>
      <c r="E162" s="13"/>
      <c r="F162" s="14" t="str">
        <f aca="false">IF(E162="","",$B$7*(E162-$B$3)^2)</f>
        <v/>
      </c>
    </row>
    <row r="163" customFormat="false" ht="15" hidden="false" customHeight="false" outlineLevel="0" collapsed="false">
      <c r="D163" s="12" t="n">
        <v>160</v>
      </c>
      <c r="E163" s="13"/>
      <c r="F163" s="14" t="str">
        <f aca="false">IF(E163="","",$B$7*(E163-$B$3)^2)</f>
        <v/>
      </c>
    </row>
    <row r="164" customFormat="false" ht="15" hidden="false" customHeight="false" outlineLevel="0" collapsed="false">
      <c r="D164" s="12" t="n">
        <v>161</v>
      </c>
      <c r="E164" s="13"/>
      <c r="F164" s="14" t="str">
        <f aca="false">IF(E164="","",$B$7*(E164-$B$3)^2)</f>
        <v/>
      </c>
    </row>
    <row r="165" customFormat="false" ht="15" hidden="false" customHeight="false" outlineLevel="0" collapsed="false">
      <c r="D165" s="12" t="n">
        <v>162</v>
      </c>
      <c r="E165" s="13"/>
      <c r="F165" s="14" t="str">
        <f aca="false">IF(E165="","",$B$7*(E165-$B$3)^2)</f>
        <v/>
      </c>
    </row>
    <row r="166" customFormat="false" ht="15" hidden="false" customHeight="false" outlineLevel="0" collapsed="false">
      <c r="D166" s="12" t="n">
        <v>163</v>
      </c>
      <c r="E166" s="13"/>
      <c r="F166" s="14" t="str">
        <f aca="false">IF(E166="","",$B$7*(E166-$B$3)^2)</f>
        <v/>
      </c>
    </row>
    <row r="167" customFormat="false" ht="15" hidden="false" customHeight="false" outlineLevel="0" collapsed="false">
      <c r="D167" s="12" t="n">
        <v>164</v>
      </c>
      <c r="E167" s="13"/>
      <c r="F167" s="14" t="str">
        <f aca="false">IF(E167="","",$B$7*(E167-$B$3)^2)</f>
        <v/>
      </c>
    </row>
    <row r="168" customFormat="false" ht="15" hidden="false" customHeight="false" outlineLevel="0" collapsed="false">
      <c r="D168" s="12" t="n">
        <v>165</v>
      </c>
      <c r="E168" s="13"/>
      <c r="F168" s="14" t="str">
        <f aca="false">IF(E168="","",$B$7*(E168-$B$3)^2)</f>
        <v/>
      </c>
    </row>
    <row r="169" customFormat="false" ht="15" hidden="false" customHeight="false" outlineLevel="0" collapsed="false">
      <c r="D169" s="12" t="n">
        <v>166</v>
      </c>
      <c r="E169" s="13"/>
      <c r="F169" s="14" t="str">
        <f aca="false">IF(E169="","",$B$7*(E169-$B$3)^2)</f>
        <v/>
      </c>
    </row>
    <row r="170" customFormat="false" ht="15" hidden="false" customHeight="false" outlineLevel="0" collapsed="false">
      <c r="D170" s="12" t="n">
        <v>167</v>
      </c>
      <c r="E170" s="13"/>
      <c r="F170" s="14" t="str">
        <f aca="false">IF(E170="","",$B$7*(E170-$B$3)^2)</f>
        <v/>
      </c>
    </row>
    <row r="171" customFormat="false" ht="15" hidden="false" customHeight="false" outlineLevel="0" collapsed="false">
      <c r="D171" s="12" t="n">
        <v>168</v>
      </c>
      <c r="E171" s="13"/>
      <c r="F171" s="14" t="str">
        <f aca="false">IF(E171="","",$B$7*(E171-$B$3)^2)</f>
        <v/>
      </c>
    </row>
    <row r="172" customFormat="false" ht="15" hidden="false" customHeight="false" outlineLevel="0" collapsed="false">
      <c r="D172" s="12" t="n">
        <v>169</v>
      </c>
      <c r="E172" s="13"/>
      <c r="F172" s="14" t="str">
        <f aca="false">IF(E172="","",$B$7*(E172-$B$3)^2)</f>
        <v/>
      </c>
    </row>
    <row r="173" customFormat="false" ht="15" hidden="false" customHeight="false" outlineLevel="0" collapsed="false">
      <c r="D173" s="12" t="n">
        <v>170</v>
      </c>
      <c r="E173" s="13"/>
      <c r="F173" s="14" t="str">
        <f aca="false">IF(E173="","",$B$7*(E173-$B$3)^2)</f>
        <v/>
      </c>
    </row>
    <row r="174" customFormat="false" ht="15" hidden="false" customHeight="false" outlineLevel="0" collapsed="false">
      <c r="D174" s="12" t="n">
        <v>171</v>
      </c>
      <c r="E174" s="13"/>
      <c r="F174" s="14" t="str">
        <f aca="false">IF(E174="","",$B$7*(E174-$B$3)^2)</f>
        <v/>
      </c>
    </row>
    <row r="175" customFormat="false" ht="15" hidden="false" customHeight="false" outlineLevel="0" collapsed="false">
      <c r="D175" s="12" t="n">
        <v>172</v>
      </c>
      <c r="E175" s="13"/>
      <c r="F175" s="14" t="str">
        <f aca="false">IF(E175="","",$B$7*(E175-$B$3)^2)</f>
        <v/>
      </c>
    </row>
    <row r="176" customFormat="false" ht="15" hidden="false" customHeight="false" outlineLevel="0" collapsed="false">
      <c r="D176" s="12" t="n">
        <v>173</v>
      </c>
      <c r="E176" s="13"/>
      <c r="F176" s="14" t="str">
        <f aca="false">IF(E176="","",$B$7*(E176-$B$3)^2)</f>
        <v/>
      </c>
    </row>
    <row r="177" customFormat="false" ht="15" hidden="false" customHeight="false" outlineLevel="0" collapsed="false">
      <c r="D177" s="12" t="n">
        <v>174</v>
      </c>
      <c r="E177" s="13"/>
      <c r="F177" s="14" t="str">
        <f aca="false">IF(E177="","",$B$7*(E177-$B$3)^2)</f>
        <v/>
      </c>
    </row>
    <row r="178" customFormat="false" ht="15" hidden="false" customHeight="false" outlineLevel="0" collapsed="false">
      <c r="D178" s="12" t="n">
        <v>175</v>
      </c>
      <c r="E178" s="13"/>
      <c r="F178" s="14" t="str">
        <f aca="false">IF(E178="","",$B$7*(E178-$B$3)^2)</f>
        <v/>
      </c>
    </row>
    <row r="179" customFormat="false" ht="15" hidden="false" customHeight="false" outlineLevel="0" collapsed="false">
      <c r="D179" s="12" t="n">
        <v>176</v>
      </c>
      <c r="E179" s="13"/>
      <c r="F179" s="14" t="str">
        <f aca="false">IF(E179="","",$B$7*(E179-$B$3)^2)</f>
        <v/>
      </c>
    </row>
    <row r="180" customFormat="false" ht="15" hidden="false" customHeight="false" outlineLevel="0" collapsed="false">
      <c r="D180" s="12" t="n">
        <v>177</v>
      </c>
      <c r="E180" s="13"/>
      <c r="F180" s="14" t="str">
        <f aca="false">IF(E180="","",$B$7*(E180-$B$3)^2)</f>
        <v/>
      </c>
    </row>
    <row r="181" customFormat="false" ht="15" hidden="false" customHeight="false" outlineLevel="0" collapsed="false">
      <c r="D181" s="12" t="n">
        <v>178</v>
      </c>
      <c r="E181" s="13"/>
      <c r="F181" s="14" t="str">
        <f aca="false">IF(E181="","",$B$7*(E181-$B$3)^2)</f>
        <v/>
      </c>
    </row>
    <row r="182" customFormat="false" ht="15" hidden="false" customHeight="false" outlineLevel="0" collapsed="false">
      <c r="D182" s="12" t="n">
        <v>179</v>
      </c>
      <c r="E182" s="13"/>
      <c r="F182" s="14" t="str">
        <f aca="false">IF(E182="","",$B$7*(E182-$B$3)^2)</f>
        <v/>
      </c>
    </row>
    <row r="183" customFormat="false" ht="15" hidden="false" customHeight="false" outlineLevel="0" collapsed="false">
      <c r="D183" s="12" t="n">
        <v>180</v>
      </c>
      <c r="E183" s="13"/>
      <c r="F183" s="14" t="str">
        <f aca="false">IF(E183="","",$B$7*(E183-$B$3)^2)</f>
        <v/>
      </c>
    </row>
    <row r="184" customFormat="false" ht="15" hidden="false" customHeight="false" outlineLevel="0" collapsed="false">
      <c r="D184" s="12" t="n">
        <v>181</v>
      </c>
      <c r="E184" s="13"/>
      <c r="F184" s="14" t="str">
        <f aca="false">IF(E184="","",$B$7*(E184-$B$3)^2)</f>
        <v/>
      </c>
    </row>
    <row r="185" customFormat="false" ht="15" hidden="false" customHeight="false" outlineLevel="0" collapsed="false">
      <c r="D185" s="12" t="n">
        <v>182</v>
      </c>
      <c r="E185" s="13"/>
      <c r="F185" s="14" t="str">
        <f aca="false">IF(E185="","",$B$7*(E185-$B$3)^2)</f>
        <v/>
      </c>
    </row>
    <row r="186" customFormat="false" ht="15" hidden="false" customHeight="false" outlineLevel="0" collapsed="false">
      <c r="D186" s="12" t="n">
        <v>183</v>
      </c>
      <c r="E186" s="13"/>
      <c r="F186" s="14" t="str">
        <f aca="false">IF(E186="","",$B$7*(E186-$B$3)^2)</f>
        <v/>
      </c>
    </row>
    <row r="187" customFormat="false" ht="15" hidden="false" customHeight="false" outlineLevel="0" collapsed="false">
      <c r="D187" s="12" t="n">
        <v>184</v>
      </c>
      <c r="E187" s="13"/>
      <c r="F187" s="14" t="str">
        <f aca="false">IF(E187="","",$B$7*(E187-$B$3)^2)</f>
        <v/>
      </c>
    </row>
    <row r="188" customFormat="false" ht="15" hidden="false" customHeight="false" outlineLevel="0" collapsed="false">
      <c r="D188" s="12" t="n">
        <v>185</v>
      </c>
      <c r="E188" s="13"/>
      <c r="F188" s="14" t="str">
        <f aca="false">IF(E188="","",$B$7*(E188-$B$3)^2)</f>
        <v/>
      </c>
    </row>
    <row r="189" customFormat="false" ht="15" hidden="false" customHeight="false" outlineLevel="0" collapsed="false">
      <c r="D189" s="12" t="n">
        <v>186</v>
      </c>
      <c r="E189" s="13"/>
      <c r="F189" s="14" t="str">
        <f aca="false">IF(E189="","",$B$7*(E189-$B$3)^2)</f>
        <v/>
      </c>
    </row>
    <row r="190" customFormat="false" ht="15" hidden="false" customHeight="false" outlineLevel="0" collapsed="false">
      <c r="D190" s="12" t="n">
        <v>187</v>
      </c>
      <c r="E190" s="13"/>
      <c r="F190" s="14" t="str">
        <f aca="false">IF(E190="","",$B$7*(E190-$B$3)^2)</f>
        <v/>
      </c>
    </row>
    <row r="191" customFormat="false" ht="15" hidden="false" customHeight="false" outlineLevel="0" collapsed="false">
      <c r="D191" s="12" t="n">
        <v>188</v>
      </c>
      <c r="E191" s="13"/>
      <c r="F191" s="14" t="str">
        <f aca="false">IF(E191="","",$B$7*(E191-$B$3)^2)</f>
        <v/>
      </c>
    </row>
    <row r="192" customFormat="false" ht="15" hidden="false" customHeight="false" outlineLevel="0" collapsed="false">
      <c r="D192" s="12" t="n">
        <v>189</v>
      </c>
      <c r="E192" s="13"/>
      <c r="F192" s="14" t="str">
        <f aca="false">IF(E192="","",$B$7*(E192-$B$3)^2)</f>
        <v/>
      </c>
    </row>
    <row r="193" customFormat="false" ht="15" hidden="false" customHeight="false" outlineLevel="0" collapsed="false">
      <c r="D193" s="12" t="n">
        <v>190</v>
      </c>
      <c r="E193" s="13"/>
      <c r="F193" s="14" t="str">
        <f aca="false">IF(E193="","",$B$7*(E193-$B$3)^2)</f>
        <v/>
      </c>
    </row>
    <row r="194" customFormat="false" ht="15" hidden="false" customHeight="false" outlineLevel="0" collapsed="false">
      <c r="D194" s="12" t="n">
        <v>191</v>
      </c>
      <c r="E194" s="13"/>
      <c r="F194" s="14" t="str">
        <f aca="false">IF(E194="","",$B$7*(E194-$B$3)^2)</f>
        <v/>
      </c>
    </row>
    <row r="195" customFormat="false" ht="15" hidden="false" customHeight="false" outlineLevel="0" collapsed="false">
      <c r="D195" s="12" t="n">
        <v>192</v>
      </c>
      <c r="E195" s="13"/>
      <c r="F195" s="14" t="str">
        <f aca="false">IF(E195="","",$B$7*(E195-$B$3)^2)</f>
        <v/>
      </c>
    </row>
    <row r="196" customFormat="false" ht="15" hidden="false" customHeight="false" outlineLevel="0" collapsed="false">
      <c r="D196" s="12" t="n">
        <v>193</v>
      </c>
      <c r="E196" s="13"/>
      <c r="F196" s="14" t="str">
        <f aca="false">IF(E196="","",$B$7*(E196-$B$3)^2)</f>
        <v/>
      </c>
    </row>
    <row r="197" customFormat="false" ht="15" hidden="false" customHeight="false" outlineLevel="0" collapsed="false">
      <c r="D197" s="12" t="n">
        <v>194</v>
      </c>
      <c r="E197" s="13"/>
      <c r="F197" s="14" t="str">
        <f aca="false">IF(E197="","",$B$7*(E197-$B$3)^2)</f>
        <v/>
      </c>
    </row>
    <row r="198" customFormat="false" ht="15" hidden="false" customHeight="false" outlineLevel="0" collapsed="false">
      <c r="D198" s="12" t="n">
        <v>195</v>
      </c>
      <c r="E198" s="13"/>
      <c r="F198" s="14" t="str">
        <f aca="false">IF(E198="","",$B$7*(E198-$B$3)^2)</f>
        <v/>
      </c>
    </row>
    <row r="199" customFormat="false" ht="15" hidden="false" customHeight="false" outlineLevel="0" collapsed="false">
      <c r="D199" s="12" t="n">
        <v>196</v>
      </c>
      <c r="E199" s="13"/>
      <c r="F199" s="14" t="str">
        <f aca="false">IF(E199="","",$B$7*(E199-$B$3)^2)</f>
        <v/>
      </c>
    </row>
    <row r="200" customFormat="false" ht="15" hidden="false" customHeight="false" outlineLevel="0" collapsed="false">
      <c r="D200" s="12" t="n">
        <v>197</v>
      </c>
      <c r="E200" s="13"/>
      <c r="F200" s="14" t="str">
        <f aca="false">IF(E200="","",$B$7*(E200-$B$3)^2)</f>
        <v/>
      </c>
    </row>
    <row r="201" customFormat="false" ht="15" hidden="false" customHeight="false" outlineLevel="0" collapsed="false">
      <c r="D201" s="12" t="n">
        <v>198</v>
      </c>
      <c r="E201" s="13"/>
      <c r="F201" s="14" t="str">
        <f aca="false">IF(E201="","",$B$7*(E201-$B$3)^2)</f>
        <v/>
      </c>
    </row>
    <row r="202" customFormat="false" ht="15" hidden="false" customHeight="false" outlineLevel="0" collapsed="false">
      <c r="D202" s="12" t="n">
        <v>199</v>
      </c>
      <c r="E202" s="13"/>
      <c r="F202" s="14" t="str">
        <f aca="false">IF(E202="","",$B$7*(E202-$B$3)^2)</f>
        <v/>
      </c>
    </row>
    <row r="203" customFormat="false" ht="15" hidden="false" customHeight="false" outlineLevel="0" collapsed="false">
      <c r="D203" s="12" t="n">
        <v>200</v>
      </c>
      <c r="E203" s="13"/>
      <c r="F203" s="14" t="str">
        <f aca="false">IF(E203="","",$B$7*(E203-$B$3)^2)</f>
        <v/>
      </c>
    </row>
    <row r="204" customFormat="false" ht="15" hidden="false" customHeight="false" outlineLevel="0" collapsed="false">
      <c r="D204" s="12" t="n">
        <v>201</v>
      </c>
      <c r="E204" s="13"/>
      <c r="F204" s="14" t="str">
        <f aca="false">IF(E204="","",$B$7*(E204-$B$3)^2)</f>
        <v/>
      </c>
    </row>
    <row r="205" customFormat="false" ht="15" hidden="false" customHeight="false" outlineLevel="0" collapsed="false">
      <c r="D205" s="12" t="n">
        <v>202</v>
      </c>
      <c r="E205" s="13"/>
      <c r="F205" s="14" t="str">
        <f aca="false">IF(E205="","",$B$7*(E205-$B$3)^2)</f>
        <v/>
      </c>
    </row>
    <row r="206" customFormat="false" ht="15" hidden="false" customHeight="false" outlineLevel="0" collapsed="false">
      <c r="D206" s="12" t="n">
        <v>203</v>
      </c>
      <c r="E206" s="13"/>
      <c r="F206" s="14" t="str">
        <f aca="false">IF(E206="","",$B$7*(E206-$B$3)^2)</f>
        <v/>
      </c>
    </row>
    <row r="207" customFormat="false" ht="15" hidden="false" customHeight="false" outlineLevel="0" collapsed="false">
      <c r="D207" s="12" t="n">
        <v>204</v>
      </c>
      <c r="E207" s="13"/>
      <c r="F207" s="14" t="str">
        <f aca="false">IF(E207="","",$B$7*(E207-$B$3)^2)</f>
        <v/>
      </c>
    </row>
    <row r="208" customFormat="false" ht="15" hidden="false" customHeight="false" outlineLevel="0" collapsed="false">
      <c r="D208" s="12" t="n">
        <v>205</v>
      </c>
      <c r="E208" s="13"/>
      <c r="F208" s="14" t="str">
        <f aca="false">IF(E208="","",$B$7*(E208-$B$3)^2)</f>
        <v/>
      </c>
    </row>
    <row r="209" customFormat="false" ht="15" hidden="false" customHeight="false" outlineLevel="0" collapsed="false">
      <c r="D209" s="12" t="n">
        <v>206</v>
      </c>
      <c r="E209" s="13"/>
      <c r="F209" s="14" t="str">
        <f aca="false">IF(E209="","",$B$7*(E209-$B$3)^2)</f>
        <v/>
      </c>
    </row>
    <row r="210" customFormat="false" ht="15" hidden="false" customHeight="false" outlineLevel="0" collapsed="false">
      <c r="D210" s="12" t="n">
        <v>207</v>
      </c>
      <c r="E210" s="13"/>
      <c r="F210" s="14" t="str">
        <f aca="false">IF(E210="","",$B$7*(E210-$B$3)^2)</f>
        <v/>
      </c>
    </row>
    <row r="211" customFormat="false" ht="15" hidden="false" customHeight="false" outlineLevel="0" collapsed="false">
      <c r="D211" s="12" t="n">
        <v>208</v>
      </c>
      <c r="E211" s="13"/>
      <c r="F211" s="14" t="str">
        <f aca="false">IF(E211="","",$B$7*(E211-$B$3)^2)</f>
        <v/>
      </c>
    </row>
    <row r="212" customFormat="false" ht="15" hidden="false" customHeight="false" outlineLevel="0" collapsed="false">
      <c r="D212" s="12" t="n">
        <v>209</v>
      </c>
      <c r="E212" s="13"/>
      <c r="F212" s="14" t="str">
        <f aca="false">IF(E212="","",$B$7*(E212-$B$3)^2)</f>
        <v/>
      </c>
    </row>
    <row r="213" customFormat="false" ht="15" hidden="false" customHeight="false" outlineLevel="0" collapsed="false">
      <c r="D213" s="12" t="n">
        <v>210</v>
      </c>
      <c r="E213" s="13"/>
      <c r="F213" s="14" t="str">
        <f aca="false">IF(E213="","",$B$7*(E213-$B$3)^2)</f>
        <v/>
      </c>
    </row>
    <row r="214" customFormat="false" ht="15" hidden="false" customHeight="false" outlineLevel="0" collapsed="false">
      <c r="D214" s="12" t="n">
        <v>211</v>
      </c>
      <c r="E214" s="13"/>
      <c r="F214" s="14" t="str">
        <f aca="false">IF(E214="","",$B$7*(E214-$B$3)^2)</f>
        <v/>
      </c>
    </row>
    <row r="215" customFormat="false" ht="15" hidden="false" customHeight="false" outlineLevel="0" collapsed="false">
      <c r="D215" s="12" t="n">
        <v>212</v>
      </c>
      <c r="E215" s="13"/>
      <c r="F215" s="14" t="str">
        <f aca="false">IF(E215="","",$B$7*(E215-$B$3)^2)</f>
        <v/>
      </c>
    </row>
    <row r="216" customFormat="false" ht="15" hidden="false" customHeight="false" outlineLevel="0" collapsed="false">
      <c r="D216" s="12" t="n">
        <v>213</v>
      </c>
      <c r="E216" s="13"/>
      <c r="F216" s="14" t="str">
        <f aca="false">IF(E216="","",$B$7*(E216-$B$3)^2)</f>
        <v/>
      </c>
    </row>
    <row r="217" customFormat="false" ht="15" hidden="false" customHeight="false" outlineLevel="0" collapsed="false">
      <c r="D217" s="12" t="n">
        <v>214</v>
      </c>
      <c r="E217" s="13"/>
      <c r="F217" s="14" t="str">
        <f aca="false">IF(E217="","",$B$7*(E217-$B$3)^2)</f>
        <v/>
      </c>
    </row>
    <row r="218" customFormat="false" ht="15" hidden="false" customHeight="false" outlineLevel="0" collapsed="false">
      <c r="D218" s="12" t="n">
        <v>215</v>
      </c>
      <c r="E218" s="13"/>
      <c r="F218" s="14" t="str">
        <f aca="false">IF(E218="","",$B$7*(E218-$B$3)^2)</f>
        <v/>
      </c>
    </row>
    <row r="219" customFormat="false" ht="15" hidden="false" customHeight="false" outlineLevel="0" collapsed="false">
      <c r="D219" s="12" t="n">
        <v>216</v>
      </c>
      <c r="E219" s="13"/>
      <c r="F219" s="14" t="str">
        <f aca="false">IF(E219="","",$B$7*(E219-$B$3)^2)</f>
        <v/>
      </c>
    </row>
    <row r="220" customFormat="false" ht="15" hidden="false" customHeight="false" outlineLevel="0" collapsed="false">
      <c r="D220" s="12" t="n">
        <v>217</v>
      </c>
      <c r="E220" s="13"/>
      <c r="F220" s="14" t="str">
        <f aca="false">IF(E220="","",$B$7*(E220-$B$3)^2)</f>
        <v/>
      </c>
    </row>
    <row r="221" customFormat="false" ht="15" hidden="false" customHeight="false" outlineLevel="0" collapsed="false">
      <c r="D221" s="12" t="n">
        <v>218</v>
      </c>
      <c r="E221" s="13"/>
      <c r="F221" s="14" t="str">
        <f aca="false">IF(E221="","",$B$7*(E221-$B$3)^2)</f>
        <v/>
      </c>
    </row>
    <row r="222" customFormat="false" ht="15" hidden="false" customHeight="false" outlineLevel="0" collapsed="false">
      <c r="D222" s="12" t="n">
        <v>219</v>
      </c>
      <c r="E222" s="13"/>
      <c r="F222" s="14" t="str">
        <f aca="false">IF(E222="","",$B$7*(E222-$B$3)^2)</f>
        <v/>
      </c>
    </row>
    <row r="223" customFormat="false" ht="15" hidden="false" customHeight="false" outlineLevel="0" collapsed="false">
      <c r="D223" s="12" t="n">
        <v>220</v>
      </c>
      <c r="E223" s="13"/>
      <c r="F223" s="14" t="str">
        <f aca="false">IF(E223="","",$B$7*(E223-$B$3)^2)</f>
        <v/>
      </c>
    </row>
    <row r="224" customFormat="false" ht="15" hidden="false" customHeight="false" outlineLevel="0" collapsed="false">
      <c r="D224" s="12" t="n">
        <v>221</v>
      </c>
      <c r="E224" s="13"/>
      <c r="F224" s="14" t="str">
        <f aca="false">IF(E224="","",$B$7*(E224-$B$3)^2)</f>
        <v/>
      </c>
    </row>
    <row r="225" customFormat="false" ht="15" hidden="false" customHeight="false" outlineLevel="0" collapsed="false">
      <c r="D225" s="12" t="n">
        <v>222</v>
      </c>
      <c r="E225" s="13"/>
      <c r="F225" s="14" t="str">
        <f aca="false">IF(E225="","",$B$7*(E225-$B$3)^2)</f>
        <v/>
      </c>
    </row>
    <row r="226" customFormat="false" ht="15" hidden="false" customHeight="false" outlineLevel="0" collapsed="false">
      <c r="D226" s="12" t="n">
        <v>223</v>
      </c>
      <c r="E226" s="13"/>
      <c r="F226" s="14" t="str">
        <f aca="false">IF(E226="","",$B$7*(E226-$B$3)^2)</f>
        <v/>
      </c>
    </row>
    <row r="227" customFormat="false" ht="15" hidden="false" customHeight="false" outlineLevel="0" collapsed="false">
      <c r="D227" s="12" t="n">
        <v>224</v>
      </c>
      <c r="E227" s="13"/>
      <c r="F227" s="14" t="str">
        <f aca="false">IF(E227="","",$B$7*(E227-$B$3)^2)</f>
        <v/>
      </c>
    </row>
    <row r="228" customFormat="false" ht="15" hidden="false" customHeight="false" outlineLevel="0" collapsed="false">
      <c r="D228" s="12" t="n">
        <v>225</v>
      </c>
      <c r="E228" s="13"/>
      <c r="F228" s="14" t="str">
        <f aca="false">IF(E228="","",$B$7*(E228-$B$3)^2)</f>
        <v/>
      </c>
    </row>
    <row r="229" customFormat="false" ht="15" hidden="false" customHeight="false" outlineLevel="0" collapsed="false">
      <c r="D229" s="12" t="n">
        <v>226</v>
      </c>
      <c r="E229" s="13"/>
      <c r="F229" s="14" t="str">
        <f aca="false">IF(E229="","",$B$7*(E229-$B$3)^2)</f>
        <v/>
      </c>
    </row>
    <row r="230" customFormat="false" ht="15" hidden="false" customHeight="false" outlineLevel="0" collapsed="false">
      <c r="D230" s="12" t="n">
        <v>227</v>
      </c>
      <c r="E230" s="13"/>
      <c r="F230" s="14" t="str">
        <f aca="false">IF(E230="","",$B$7*(E230-$B$3)^2)</f>
        <v/>
      </c>
    </row>
    <row r="231" customFormat="false" ht="15" hidden="false" customHeight="false" outlineLevel="0" collapsed="false">
      <c r="D231" s="12" t="n">
        <v>228</v>
      </c>
      <c r="E231" s="13"/>
      <c r="F231" s="14" t="str">
        <f aca="false">IF(E231="","",$B$7*(E231-$B$3)^2)</f>
        <v/>
      </c>
    </row>
    <row r="232" customFormat="false" ht="15" hidden="false" customHeight="false" outlineLevel="0" collapsed="false">
      <c r="D232" s="12" t="n">
        <v>229</v>
      </c>
      <c r="E232" s="13"/>
      <c r="F232" s="14" t="str">
        <f aca="false">IF(E232="","",$B$7*(E232-$B$3)^2)</f>
        <v/>
      </c>
    </row>
    <row r="233" customFormat="false" ht="15" hidden="false" customHeight="false" outlineLevel="0" collapsed="false">
      <c r="D233" s="12" t="n">
        <v>230</v>
      </c>
      <c r="E233" s="13"/>
      <c r="F233" s="14" t="str">
        <f aca="false">IF(E233="","",$B$7*(E233-$B$3)^2)</f>
        <v/>
      </c>
    </row>
    <row r="234" customFormat="false" ht="15" hidden="false" customHeight="false" outlineLevel="0" collapsed="false">
      <c r="D234" s="12" t="n">
        <v>231</v>
      </c>
      <c r="E234" s="13"/>
      <c r="F234" s="14" t="str">
        <f aca="false">IF(E234="","",$B$7*(E234-$B$3)^2)</f>
        <v/>
      </c>
    </row>
    <row r="235" customFormat="false" ht="15" hidden="false" customHeight="false" outlineLevel="0" collapsed="false">
      <c r="D235" s="12" t="n">
        <v>232</v>
      </c>
      <c r="E235" s="13"/>
      <c r="F235" s="14" t="str">
        <f aca="false">IF(E235="","",$B$7*(E235-$B$3)^2)</f>
        <v/>
      </c>
    </row>
    <row r="236" customFormat="false" ht="15" hidden="false" customHeight="false" outlineLevel="0" collapsed="false">
      <c r="D236" s="12" t="n">
        <v>233</v>
      </c>
      <c r="E236" s="13"/>
      <c r="F236" s="14" t="str">
        <f aca="false">IF(E236="","",$B$7*(E236-$B$3)^2)</f>
        <v/>
      </c>
    </row>
    <row r="237" customFormat="false" ht="15" hidden="false" customHeight="false" outlineLevel="0" collapsed="false">
      <c r="D237" s="12" t="n">
        <v>234</v>
      </c>
      <c r="E237" s="13"/>
      <c r="F237" s="14" t="str">
        <f aca="false">IF(E237="","",$B$7*(E237-$B$3)^2)</f>
        <v/>
      </c>
    </row>
    <row r="238" customFormat="false" ht="15" hidden="false" customHeight="false" outlineLevel="0" collapsed="false">
      <c r="D238" s="12" t="n">
        <v>235</v>
      </c>
      <c r="E238" s="13"/>
      <c r="F238" s="14" t="str">
        <f aca="false">IF(E238="","",$B$7*(E238-$B$3)^2)</f>
        <v/>
      </c>
    </row>
    <row r="239" customFormat="false" ht="15" hidden="false" customHeight="false" outlineLevel="0" collapsed="false">
      <c r="D239" s="12" t="n">
        <v>236</v>
      </c>
      <c r="E239" s="13"/>
      <c r="F239" s="14" t="str">
        <f aca="false">IF(E239="","",$B$7*(E239-$B$3)^2)</f>
        <v/>
      </c>
    </row>
    <row r="240" customFormat="false" ht="15" hidden="false" customHeight="false" outlineLevel="0" collapsed="false">
      <c r="D240" s="12" t="n">
        <v>237</v>
      </c>
      <c r="E240" s="13"/>
      <c r="F240" s="14" t="str">
        <f aca="false">IF(E240="","",$B$7*(E240-$B$3)^2)</f>
        <v/>
      </c>
    </row>
    <row r="241" customFormat="false" ht="15" hidden="false" customHeight="false" outlineLevel="0" collapsed="false">
      <c r="D241" s="12" t="n">
        <v>238</v>
      </c>
      <c r="E241" s="13"/>
      <c r="F241" s="14" t="str">
        <f aca="false">IF(E241="","",$B$7*(E241-$B$3)^2)</f>
        <v/>
      </c>
    </row>
    <row r="242" customFormat="false" ht="15" hidden="false" customHeight="false" outlineLevel="0" collapsed="false">
      <c r="D242" s="12" t="n">
        <v>239</v>
      </c>
      <c r="E242" s="13"/>
      <c r="F242" s="14" t="str">
        <f aca="false">IF(E242="","",$B$7*(E242-$B$3)^2)</f>
        <v/>
      </c>
    </row>
    <row r="243" customFormat="false" ht="15" hidden="false" customHeight="false" outlineLevel="0" collapsed="false">
      <c r="D243" s="12" t="n">
        <v>240</v>
      </c>
      <c r="E243" s="13"/>
      <c r="F243" s="14" t="str">
        <f aca="false">IF(E243="","",$B$7*(E243-$B$3)^2)</f>
        <v/>
      </c>
    </row>
    <row r="244" customFormat="false" ht="15" hidden="false" customHeight="false" outlineLevel="0" collapsed="false">
      <c r="D244" s="12" t="n">
        <v>241</v>
      </c>
      <c r="E244" s="13"/>
      <c r="F244" s="14" t="str">
        <f aca="false">IF(E244="","",$B$7*(E244-$B$3)^2)</f>
        <v/>
      </c>
    </row>
    <row r="245" customFormat="false" ht="15" hidden="false" customHeight="false" outlineLevel="0" collapsed="false">
      <c r="D245" s="12" t="n">
        <v>242</v>
      </c>
      <c r="E245" s="13"/>
      <c r="F245" s="14" t="str">
        <f aca="false">IF(E245="","",$B$7*(E245-$B$3)^2)</f>
        <v/>
      </c>
    </row>
    <row r="246" customFormat="false" ht="15" hidden="false" customHeight="false" outlineLevel="0" collapsed="false">
      <c r="D246" s="12" t="n">
        <v>243</v>
      </c>
      <c r="E246" s="13"/>
      <c r="F246" s="14" t="str">
        <f aca="false">IF(E246="","",$B$7*(E246-$B$3)^2)</f>
        <v/>
      </c>
    </row>
    <row r="247" customFormat="false" ht="15" hidden="false" customHeight="false" outlineLevel="0" collapsed="false">
      <c r="D247" s="12" t="n">
        <v>244</v>
      </c>
      <c r="E247" s="13"/>
      <c r="F247" s="14" t="str">
        <f aca="false">IF(E247="","",$B$7*(E247-$B$3)^2)</f>
        <v/>
      </c>
    </row>
    <row r="248" customFormat="false" ht="15" hidden="false" customHeight="false" outlineLevel="0" collapsed="false">
      <c r="D248" s="12" t="n">
        <v>245</v>
      </c>
      <c r="E248" s="13"/>
      <c r="F248" s="14" t="str">
        <f aca="false">IF(E248="","",$B$7*(E248-$B$3)^2)</f>
        <v/>
      </c>
    </row>
    <row r="249" customFormat="false" ht="15" hidden="false" customHeight="false" outlineLevel="0" collapsed="false">
      <c r="D249" s="12" t="n">
        <v>246</v>
      </c>
      <c r="E249" s="13"/>
      <c r="F249" s="14" t="str">
        <f aca="false">IF(E249="","",$B$7*(E249-$B$3)^2)</f>
        <v/>
      </c>
    </row>
    <row r="250" customFormat="false" ht="15" hidden="false" customHeight="false" outlineLevel="0" collapsed="false">
      <c r="D250" s="12" t="n">
        <v>247</v>
      </c>
      <c r="E250" s="13"/>
      <c r="F250" s="14" t="str">
        <f aca="false">IF(E250="","",$B$7*(E250-$B$3)^2)</f>
        <v/>
      </c>
    </row>
    <row r="251" customFormat="false" ht="15" hidden="false" customHeight="false" outlineLevel="0" collapsed="false">
      <c r="D251" s="12" t="n">
        <v>248</v>
      </c>
      <c r="E251" s="13"/>
      <c r="F251" s="14" t="str">
        <f aca="false">IF(E251="","",$B$7*(E251-$B$3)^2)</f>
        <v/>
      </c>
    </row>
    <row r="252" customFormat="false" ht="15" hidden="false" customHeight="false" outlineLevel="0" collapsed="false">
      <c r="D252" s="12" t="n">
        <v>249</v>
      </c>
      <c r="E252" s="13"/>
      <c r="F252" s="14" t="str">
        <f aca="false">IF(E252="","",$B$7*(E252-$B$3)^2)</f>
        <v/>
      </c>
    </row>
    <row r="253" customFormat="false" ht="15" hidden="false" customHeight="false" outlineLevel="0" collapsed="false">
      <c r="D253" s="12" t="n">
        <v>250</v>
      </c>
      <c r="E253" s="13"/>
      <c r="F253" s="14" t="str">
        <f aca="false">IF(E253="","",$B$7*(E253-$B$3)^2)</f>
        <v/>
      </c>
    </row>
    <row r="254" customFormat="false" ht="15" hidden="false" customHeight="false" outlineLevel="0" collapsed="false">
      <c r="D254" s="12" t="n">
        <v>251</v>
      </c>
      <c r="E254" s="13"/>
      <c r="F254" s="14" t="str">
        <f aca="false">IF(E254="","",$B$7*(E254-$B$3)^2)</f>
        <v/>
      </c>
    </row>
    <row r="255" customFormat="false" ht="15" hidden="false" customHeight="false" outlineLevel="0" collapsed="false">
      <c r="D255" s="12" t="n">
        <v>252</v>
      </c>
      <c r="E255" s="13"/>
      <c r="F255" s="14" t="str">
        <f aca="false">IF(E255="","",$B$7*(E255-$B$3)^2)</f>
        <v/>
      </c>
    </row>
    <row r="256" customFormat="false" ht="15" hidden="false" customHeight="false" outlineLevel="0" collapsed="false">
      <c r="D256" s="12" t="n">
        <v>253</v>
      </c>
      <c r="E256" s="13"/>
      <c r="F256" s="14" t="str">
        <f aca="false">IF(E256="","",$B$7*(E256-$B$3)^2)</f>
        <v/>
      </c>
    </row>
    <row r="257" customFormat="false" ht="15" hidden="false" customHeight="false" outlineLevel="0" collapsed="false">
      <c r="D257" s="12" t="n">
        <v>254</v>
      </c>
      <c r="E257" s="13"/>
      <c r="F257" s="14" t="str">
        <f aca="false">IF(E257="","",$B$7*(E257-$B$3)^2)</f>
        <v/>
      </c>
    </row>
    <row r="258" customFormat="false" ht="15" hidden="false" customHeight="false" outlineLevel="0" collapsed="false">
      <c r="D258" s="12" t="n">
        <v>255</v>
      </c>
      <c r="E258" s="13"/>
      <c r="F258" s="14" t="str">
        <f aca="false">IF(E258="","",$B$7*(E258-$B$3)^2)</f>
        <v/>
      </c>
    </row>
    <row r="259" customFormat="false" ht="15" hidden="false" customHeight="false" outlineLevel="0" collapsed="false">
      <c r="D259" s="12" t="n">
        <v>256</v>
      </c>
      <c r="E259" s="13"/>
      <c r="F259" s="14" t="str">
        <f aca="false">IF(E259="","",$B$7*(E259-$B$3)^2)</f>
        <v/>
      </c>
    </row>
    <row r="260" customFormat="false" ht="15" hidden="false" customHeight="false" outlineLevel="0" collapsed="false">
      <c r="D260" s="12" t="n">
        <v>257</v>
      </c>
      <c r="E260" s="13"/>
      <c r="F260" s="14" t="str">
        <f aca="false">IF(E260="","",$B$7*(E260-$B$3)^2)</f>
        <v/>
      </c>
    </row>
    <row r="261" customFormat="false" ht="15" hidden="false" customHeight="false" outlineLevel="0" collapsed="false">
      <c r="D261" s="12" t="n">
        <v>258</v>
      </c>
      <c r="E261" s="13"/>
      <c r="F261" s="14" t="str">
        <f aca="false">IF(E261="","",$B$7*(E261-$B$3)^2)</f>
        <v/>
      </c>
    </row>
    <row r="262" customFormat="false" ht="15" hidden="false" customHeight="false" outlineLevel="0" collapsed="false">
      <c r="D262" s="12" t="n">
        <v>259</v>
      </c>
      <c r="E262" s="13"/>
      <c r="F262" s="14" t="str">
        <f aca="false">IF(E262="","",$B$7*(E262-$B$3)^2)</f>
        <v/>
      </c>
    </row>
    <row r="263" customFormat="false" ht="15" hidden="false" customHeight="false" outlineLevel="0" collapsed="false">
      <c r="D263" s="12" t="n">
        <v>260</v>
      </c>
      <c r="E263" s="13"/>
      <c r="F263" s="14" t="str">
        <f aca="false">IF(E263="","",$B$7*(E263-$B$3)^2)</f>
        <v/>
      </c>
    </row>
    <row r="264" customFormat="false" ht="15" hidden="false" customHeight="false" outlineLevel="0" collapsed="false">
      <c r="D264" s="12" t="n">
        <v>261</v>
      </c>
      <c r="E264" s="13"/>
      <c r="F264" s="14" t="str">
        <f aca="false">IF(E264="","",$B$7*(E264-$B$3)^2)</f>
        <v/>
      </c>
    </row>
    <row r="265" customFormat="false" ht="15" hidden="false" customHeight="false" outlineLevel="0" collapsed="false">
      <c r="D265" s="12" t="n">
        <v>262</v>
      </c>
      <c r="E265" s="13"/>
      <c r="F265" s="14" t="str">
        <f aca="false">IF(E265="","",$B$7*(E265-$B$3)^2)</f>
        <v/>
      </c>
    </row>
    <row r="266" customFormat="false" ht="15" hidden="false" customHeight="false" outlineLevel="0" collapsed="false">
      <c r="D266" s="12" t="n">
        <v>263</v>
      </c>
      <c r="E266" s="13"/>
      <c r="F266" s="14" t="str">
        <f aca="false">IF(E266="","",$B$7*(E266-$B$3)^2)</f>
        <v/>
      </c>
    </row>
    <row r="267" customFormat="false" ht="15" hidden="false" customHeight="false" outlineLevel="0" collapsed="false">
      <c r="D267" s="12" t="n">
        <v>264</v>
      </c>
      <c r="E267" s="13"/>
      <c r="F267" s="14" t="str">
        <f aca="false">IF(E267="","",$B$7*(E267-$B$3)^2)</f>
        <v/>
      </c>
    </row>
    <row r="268" customFormat="false" ht="15" hidden="false" customHeight="false" outlineLevel="0" collapsed="false">
      <c r="D268" s="12" t="n">
        <v>265</v>
      </c>
      <c r="E268" s="13"/>
      <c r="F268" s="14" t="str">
        <f aca="false">IF(E268="","",$B$7*(E268-$B$3)^2)</f>
        <v/>
      </c>
    </row>
    <row r="269" customFormat="false" ht="15" hidden="false" customHeight="false" outlineLevel="0" collapsed="false">
      <c r="D269" s="12" t="n">
        <v>266</v>
      </c>
      <c r="E269" s="13"/>
      <c r="F269" s="14" t="str">
        <f aca="false">IF(E269="","",$B$7*(E269-$B$3)^2)</f>
        <v/>
      </c>
    </row>
    <row r="270" customFormat="false" ht="15" hidden="false" customHeight="false" outlineLevel="0" collapsed="false">
      <c r="D270" s="12" t="n">
        <v>267</v>
      </c>
      <c r="E270" s="13"/>
      <c r="F270" s="14" t="str">
        <f aca="false">IF(E270="","",$B$7*(E270-$B$3)^2)</f>
        <v/>
      </c>
    </row>
    <row r="271" customFormat="false" ht="15" hidden="false" customHeight="false" outlineLevel="0" collapsed="false">
      <c r="D271" s="12" t="n">
        <v>268</v>
      </c>
      <c r="E271" s="13"/>
      <c r="F271" s="14" t="str">
        <f aca="false">IF(E271="","",$B$7*(E271-$B$3)^2)</f>
        <v/>
      </c>
    </row>
    <row r="272" customFormat="false" ht="15" hidden="false" customHeight="false" outlineLevel="0" collapsed="false">
      <c r="D272" s="12" t="n">
        <v>269</v>
      </c>
      <c r="E272" s="13"/>
      <c r="F272" s="14" t="str">
        <f aca="false">IF(E272="","",$B$7*(E272-$B$3)^2)</f>
        <v/>
      </c>
    </row>
    <row r="273" customFormat="false" ht="15" hidden="false" customHeight="false" outlineLevel="0" collapsed="false">
      <c r="D273" s="12" t="n">
        <v>270</v>
      </c>
      <c r="E273" s="13"/>
      <c r="F273" s="14" t="str">
        <f aca="false">IF(E273="","",$B$7*(E273-$B$3)^2)</f>
        <v/>
      </c>
    </row>
    <row r="274" customFormat="false" ht="15" hidden="false" customHeight="false" outlineLevel="0" collapsed="false">
      <c r="D274" s="12" t="n">
        <v>271</v>
      </c>
      <c r="E274" s="13"/>
      <c r="F274" s="14" t="str">
        <f aca="false">IF(E274="","",$B$7*(E274-$B$3)^2)</f>
        <v/>
      </c>
    </row>
    <row r="275" customFormat="false" ht="15" hidden="false" customHeight="false" outlineLevel="0" collapsed="false">
      <c r="D275" s="12" t="n">
        <v>272</v>
      </c>
      <c r="E275" s="13"/>
      <c r="F275" s="14" t="str">
        <f aca="false">IF(E275="","",$B$7*(E275-$B$3)^2)</f>
        <v/>
      </c>
    </row>
    <row r="276" customFormat="false" ht="15" hidden="false" customHeight="false" outlineLevel="0" collapsed="false">
      <c r="D276" s="12" t="n">
        <v>273</v>
      </c>
      <c r="E276" s="13"/>
      <c r="F276" s="14" t="str">
        <f aca="false">IF(E276="","",$B$7*(E276-$B$3)^2)</f>
        <v/>
      </c>
    </row>
    <row r="277" customFormat="false" ht="15" hidden="false" customHeight="false" outlineLevel="0" collapsed="false">
      <c r="D277" s="12" t="n">
        <v>274</v>
      </c>
      <c r="E277" s="13"/>
      <c r="F277" s="14" t="str">
        <f aca="false">IF(E277="","",$B$7*(E277-$B$3)^2)</f>
        <v/>
      </c>
    </row>
    <row r="278" customFormat="false" ht="15" hidden="false" customHeight="false" outlineLevel="0" collapsed="false">
      <c r="D278" s="12" t="n">
        <v>275</v>
      </c>
      <c r="E278" s="13"/>
      <c r="F278" s="14" t="str">
        <f aca="false">IF(E278="","",$B$7*(E278-$B$3)^2)</f>
        <v/>
      </c>
    </row>
    <row r="279" customFormat="false" ht="15" hidden="false" customHeight="false" outlineLevel="0" collapsed="false">
      <c r="D279" s="12" t="n">
        <v>276</v>
      </c>
      <c r="E279" s="13"/>
      <c r="F279" s="14" t="str">
        <f aca="false">IF(E279="","",$B$7*(E279-$B$3)^2)</f>
        <v/>
      </c>
    </row>
    <row r="280" customFormat="false" ht="15" hidden="false" customHeight="false" outlineLevel="0" collapsed="false">
      <c r="D280" s="12" t="n">
        <v>277</v>
      </c>
      <c r="E280" s="13"/>
      <c r="F280" s="14" t="str">
        <f aca="false">IF(E280="","",$B$7*(E280-$B$3)^2)</f>
        <v/>
      </c>
    </row>
    <row r="281" customFormat="false" ht="15" hidden="false" customHeight="false" outlineLevel="0" collapsed="false">
      <c r="D281" s="12" t="n">
        <v>278</v>
      </c>
      <c r="E281" s="13"/>
      <c r="F281" s="14" t="str">
        <f aca="false">IF(E281="","",$B$7*(E281-$B$3)^2)</f>
        <v/>
      </c>
    </row>
    <row r="282" customFormat="false" ht="15" hidden="false" customHeight="false" outlineLevel="0" collapsed="false">
      <c r="D282" s="12" t="n">
        <v>279</v>
      </c>
      <c r="E282" s="13"/>
      <c r="F282" s="14" t="str">
        <f aca="false">IF(E282="","",$B$7*(E282-$B$3)^2)</f>
        <v/>
      </c>
    </row>
    <row r="283" customFormat="false" ht="15" hidden="false" customHeight="false" outlineLevel="0" collapsed="false">
      <c r="D283" s="12" t="n">
        <v>280</v>
      </c>
      <c r="E283" s="13"/>
      <c r="F283" s="14" t="str">
        <f aca="false">IF(E283="","",$B$7*(E283-$B$3)^2)</f>
        <v/>
      </c>
    </row>
    <row r="284" customFormat="false" ht="15" hidden="false" customHeight="false" outlineLevel="0" collapsed="false">
      <c r="D284" s="12" t="n">
        <v>281</v>
      </c>
      <c r="E284" s="13"/>
      <c r="F284" s="14" t="str">
        <f aca="false">IF(E284="","",$B$7*(E284-$B$3)^2)</f>
        <v/>
      </c>
    </row>
    <row r="285" customFormat="false" ht="15" hidden="false" customHeight="false" outlineLevel="0" collapsed="false">
      <c r="D285" s="12" t="n">
        <v>282</v>
      </c>
      <c r="E285" s="13"/>
      <c r="F285" s="14" t="str">
        <f aca="false">IF(E285="","",$B$7*(E285-$B$3)^2)</f>
        <v/>
      </c>
    </row>
    <row r="286" customFormat="false" ht="15" hidden="false" customHeight="false" outlineLevel="0" collapsed="false">
      <c r="D286" s="12" t="n">
        <v>283</v>
      </c>
      <c r="E286" s="13"/>
      <c r="F286" s="14" t="str">
        <f aca="false">IF(E286="","",$B$7*(E286-$B$3)^2)</f>
        <v/>
      </c>
    </row>
    <row r="287" customFormat="false" ht="15" hidden="false" customHeight="false" outlineLevel="0" collapsed="false">
      <c r="D287" s="12" t="n">
        <v>284</v>
      </c>
      <c r="E287" s="13"/>
      <c r="F287" s="14" t="str">
        <f aca="false">IF(E287="","",$B$7*(E287-$B$3)^2)</f>
        <v/>
      </c>
    </row>
    <row r="288" customFormat="false" ht="15" hidden="false" customHeight="false" outlineLevel="0" collapsed="false">
      <c r="D288" s="12" t="n">
        <v>285</v>
      </c>
      <c r="E288" s="13"/>
      <c r="F288" s="14" t="str">
        <f aca="false">IF(E288="","",$B$7*(E288-$B$3)^2)</f>
        <v/>
      </c>
    </row>
    <row r="289" customFormat="false" ht="15" hidden="false" customHeight="false" outlineLevel="0" collapsed="false">
      <c r="D289" s="12" t="n">
        <v>286</v>
      </c>
      <c r="E289" s="13"/>
      <c r="F289" s="14" t="str">
        <f aca="false">IF(E289="","",$B$7*(E289-$B$3)^2)</f>
        <v/>
      </c>
    </row>
    <row r="290" customFormat="false" ht="15" hidden="false" customHeight="false" outlineLevel="0" collapsed="false">
      <c r="D290" s="12" t="n">
        <v>287</v>
      </c>
      <c r="E290" s="13"/>
      <c r="F290" s="14" t="str">
        <f aca="false">IF(E290="","",$B$7*(E290-$B$3)^2)</f>
        <v/>
      </c>
    </row>
    <row r="291" customFormat="false" ht="15" hidden="false" customHeight="false" outlineLevel="0" collapsed="false">
      <c r="D291" s="12" t="n">
        <v>288</v>
      </c>
      <c r="E291" s="13"/>
      <c r="F291" s="14" t="str">
        <f aca="false">IF(E291="","",$B$7*(E291-$B$3)^2)</f>
        <v/>
      </c>
    </row>
    <row r="292" customFormat="false" ht="15" hidden="false" customHeight="false" outlineLevel="0" collapsed="false">
      <c r="D292" s="12" t="n">
        <v>289</v>
      </c>
      <c r="E292" s="13"/>
      <c r="F292" s="14" t="str">
        <f aca="false">IF(E292="","",$B$7*(E292-$B$3)^2)</f>
        <v/>
      </c>
    </row>
    <row r="293" customFormat="false" ht="15" hidden="false" customHeight="false" outlineLevel="0" collapsed="false">
      <c r="D293" s="12" t="n">
        <v>290</v>
      </c>
      <c r="E293" s="13"/>
      <c r="F293" s="14" t="str">
        <f aca="false">IF(E293="","",$B$7*(E293-$B$3)^2)</f>
        <v/>
      </c>
    </row>
    <row r="294" customFormat="false" ht="15" hidden="false" customHeight="false" outlineLevel="0" collapsed="false">
      <c r="D294" s="12" t="n">
        <v>291</v>
      </c>
      <c r="E294" s="13"/>
      <c r="F294" s="14" t="str">
        <f aca="false">IF(E294="","",$B$7*(E294-$B$3)^2)</f>
        <v/>
      </c>
    </row>
    <row r="295" customFormat="false" ht="15" hidden="false" customHeight="false" outlineLevel="0" collapsed="false">
      <c r="D295" s="12" t="n">
        <v>292</v>
      </c>
      <c r="E295" s="13"/>
      <c r="F295" s="14" t="str">
        <f aca="false">IF(E295="","",$B$7*(E295-$B$3)^2)</f>
        <v/>
      </c>
    </row>
    <row r="296" customFormat="false" ht="15" hidden="false" customHeight="false" outlineLevel="0" collapsed="false">
      <c r="D296" s="12" t="n">
        <v>293</v>
      </c>
      <c r="E296" s="13"/>
      <c r="F296" s="14" t="str">
        <f aca="false">IF(E296="","",$B$7*(E296-$B$3)^2)</f>
        <v/>
      </c>
    </row>
    <row r="297" customFormat="false" ht="15" hidden="false" customHeight="false" outlineLevel="0" collapsed="false">
      <c r="D297" s="12" t="n">
        <v>294</v>
      </c>
      <c r="E297" s="13"/>
      <c r="F297" s="14" t="str">
        <f aca="false">IF(E297="","",$B$7*(E297-$B$3)^2)</f>
        <v/>
      </c>
    </row>
    <row r="298" customFormat="false" ht="15" hidden="false" customHeight="false" outlineLevel="0" collapsed="false">
      <c r="D298" s="12" t="n">
        <v>295</v>
      </c>
      <c r="E298" s="13"/>
      <c r="F298" s="14" t="str">
        <f aca="false">IF(E298="","",$B$7*(E298-$B$3)^2)</f>
        <v/>
      </c>
    </row>
    <row r="299" customFormat="false" ht="15" hidden="false" customHeight="false" outlineLevel="0" collapsed="false">
      <c r="D299" s="12" t="n">
        <v>296</v>
      </c>
      <c r="E299" s="13"/>
      <c r="F299" s="14" t="str">
        <f aca="false">IF(E299="","",$B$7*(E299-$B$3)^2)</f>
        <v/>
      </c>
    </row>
    <row r="300" customFormat="false" ht="15" hidden="false" customHeight="false" outlineLevel="0" collapsed="false">
      <c r="D300" s="12" t="n">
        <v>297</v>
      </c>
      <c r="E300" s="13"/>
      <c r="F300" s="14" t="str">
        <f aca="false">IF(E300="","",$B$7*(E300-$B$3)^2)</f>
        <v/>
      </c>
    </row>
    <row r="301" customFormat="false" ht="15" hidden="false" customHeight="false" outlineLevel="0" collapsed="false">
      <c r="D301" s="12" t="n">
        <v>298</v>
      </c>
      <c r="E301" s="13"/>
      <c r="F301" s="14" t="str">
        <f aca="false">IF(E301="","",$B$7*(E301-$B$3)^2)</f>
        <v/>
      </c>
    </row>
    <row r="302" customFormat="false" ht="15" hidden="false" customHeight="false" outlineLevel="0" collapsed="false">
      <c r="D302" s="12" t="n">
        <v>299</v>
      </c>
      <c r="E302" s="13"/>
      <c r="F302" s="14" t="str">
        <f aca="false">IF(E302="","",$B$7*(E302-$B$3)^2)</f>
        <v/>
      </c>
    </row>
    <row r="303" customFormat="false" ht="15" hidden="false" customHeight="false" outlineLevel="0" collapsed="false">
      <c r="D303" s="12" t="n">
        <v>300</v>
      </c>
      <c r="E303" s="13"/>
      <c r="F303" s="14" t="str">
        <f aca="false">IF(E303="","",$B$7*(E303-$B$3)^2)</f>
        <v/>
      </c>
    </row>
    <row r="304" customFormat="false" ht="15" hidden="false" customHeight="false" outlineLevel="0" collapsed="false">
      <c r="D304" s="12" t="n">
        <v>301</v>
      </c>
      <c r="E304" s="13"/>
      <c r="F304" s="14" t="str">
        <f aca="false">IF(E304="","",$B$7*(E304-$B$3)^2)</f>
        <v/>
      </c>
    </row>
    <row r="305" customFormat="false" ht="15" hidden="false" customHeight="false" outlineLevel="0" collapsed="false">
      <c r="D305" s="12" t="n">
        <v>302</v>
      </c>
      <c r="E305" s="13"/>
      <c r="F305" s="14" t="str">
        <f aca="false">IF(E305="","",$B$7*(E305-$B$3)^2)</f>
        <v/>
      </c>
    </row>
    <row r="306" customFormat="false" ht="15" hidden="false" customHeight="false" outlineLevel="0" collapsed="false">
      <c r="D306" s="12" t="n">
        <v>303</v>
      </c>
      <c r="E306" s="13"/>
      <c r="F306" s="14" t="str">
        <f aca="false">IF(E306="","",$B$7*(E306-$B$3)^2)</f>
        <v/>
      </c>
    </row>
    <row r="307" customFormat="false" ht="15" hidden="false" customHeight="false" outlineLevel="0" collapsed="false">
      <c r="D307" s="12" t="n">
        <v>304</v>
      </c>
      <c r="E307" s="13"/>
      <c r="F307" s="14" t="str">
        <f aca="false">IF(E307="","",$B$7*(E307-$B$3)^2)</f>
        <v/>
      </c>
    </row>
    <row r="308" customFormat="false" ht="15" hidden="false" customHeight="false" outlineLevel="0" collapsed="false">
      <c r="D308" s="12" t="n">
        <v>305</v>
      </c>
      <c r="E308" s="13"/>
      <c r="F308" s="14" t="str">
        <f aca="false">IF(E308="","",$B$7*(E308-$B$3)^2)</f>
        <v/>
      </c>
    </row>
    <row r="309" customFormat="false" ht="15" hidden="false" customHeight="false" outlineLevel="0" collapsed="false">
      <c r="D309" s="12" t="n">
        <v>306</v>
      </c>
      <c r="E309" s="13"/>
      <c r="F309" s="14" t="str">
        <f aca="false">IF(E309="","",$B$7*(E309-$B$3)^2)</f>
        <v/>
      </c>
    </row>
    <row r="310" customFormat="false" ht="15" hidden="false" customHeight="false" outlineLevel="0" collapsed="false">
      <c r="D310" s="12" t="n">
        <v>307</v>
      </c>
      <c r="E310" s="13"/>
      <c r="F310" s="14" t="str">
        <f aca="false">IF(E310="","",$B$7*(E310-$B$3)^2)</f>
        <v/>
      </c>
    </row>
    <row r="311" customFormat="false" ht="15" hidden="false" customHeight="false" outlineLevel="0" collapsed="false">
      <c r="D311" s="12" t="n">
        <v>308</v>
      </c>
      <c r="E311" s="13"/>
      <c r="F311" s="14" t="str">
        <f aca="false">IF(E311="","",$B$7*(E311-$B$3)^2)</f>
        <v/>
      </c>
    </row>
    <row r="312" customFormat="false" ht="15" hidden="false" customHeight="false" outlineLevel="0" collapsed="false">
      <c r="D312" s="12" t="n">
        <v>309</v>
      </c>
      <c r="E312" s="13"/>
      <c r="F312" s="14" t="str">
        <f aca="false">IF(E312="","",$B$7*(E312-$B$3)^2)</f>
        <v/>
      </c>
    </row>
    <row r="313" customFormat="false" ht="15" hidden="false" customHeight="false" outlineLevel="0" collapsed="false">
      <c r="D313" s="12" t="n">
        <v>310</v>
      </c>
      <c r="E313" s="13"/>
      <c r="F313" s="14" t="str">
        <f aca="false">IF(E313="","",$B$7*(E313-$B$3)^2)</f>
        <v/>
      </c>
    </row>
    <row r="314" customFormat="false" ht="15" hidden="false" customHeight="false" outlineLevel="0" collapsed="false">
      <c r="D314" s="12" t="n">
        <v>311</v>
      </c>
      <c r="E314" s="13"/>
      <c r="F314" s="14" t="str">
        <f aca="false">IF(E314="","",$B$7*(E314-$B$3)^2)</f>
        <v/>
      </c>
    </row>
    <row r="315" customFormat="false" ht="15" hidden="false" customHeight="false" outlineLevel="0" collapsed="false">
      <c r="D315" s="12" t="n">
        <v>312</v>
      </c>
      <c r="E315" s="13"/>
      <c r="F315" s="14" t="str">
        <f aca="false">IF(E315="","",$B$7*(E315-$B$3)^2)</f>
        <v/>
      </c>
    </row>
    <row r="316" customFormat="false" ht="15" hidden="false" customHeight="false" outlineLevel="0" collapsed="false">
      <c r="D316" s="12" t="n">
        <v>313</v>
      </c>
      <c r="E316" s="13"/>
      <c r="F316" s="14" t="str">
        <f aca="false">IF(E316="","",$B$7*(E316-$B$3)^2)</f>
        <v/>
      </c>
    </row>
    <row r="317" customFormat="false" ht="15" hidden="false" customHeight="false" outlineLevel="0" collapsed="false">
      <c r="D317" s="12" t="n">
        <v>314</v>
      </c>
      <c r="E317" s="13"/>
      <c r="F317" s="14" t="str">
        <f aca="false">IF(E317="","",$B$7*(E317-$B$3)^2)</f>
        <v/>
      </c>
    </row>
    <row r="318" customFormat="false" ht="15" hidden="false" customHeight="false" outlineLevel="0" collapsed="false">
      <c r="D318" s="12" t="n">
        <v>315</v>
      </c>
      <c r="E318" s="13"/>
      <c r="F318" s="14" t="str">
        <f aca="false">IF(E318="","",$B$7*(E318-$B$3)^2)</f>
        <v/>
      </c>
    </row>
    <row r="319" customFormat="false" ht="15" hidden="false" customHeight="false" outlineLevel="0" collapsed="false">
      <c r="D319" s="12" t="n">
        <v>316</v>
      </c>
      <c r="E319" s="13"/>
      <c r="F319" s="14" t="str">
        <f aca="false">IF(E319="","",$B$7*(E319-$B$3)^2)</f>
        <v/>
      </c>
    </row>
    <row r="320" customFormat="false" ht="15" hidden="false" customHeight="false" outlineLevel="0" collapsed="false">
      <c r="D320" s="12" t="n">
        <v>317</v>
      </c>
      <c r="E320" s="13"/>
      <c r="F320" s="14" t="str">
        <f aca="false">IF(E320="","",$B$7*(E320-$B$3)^2)</f>
        <v/>
      </c>
    </row>
    <row r="321" customFormat="false" ht="15" hidden="false" customHeight="false" outlineLevel="0" collapsed="false">
      <c r="D321" s="12" t="n">
        <v>318</v>
      </c>
      <c r="E321" s="13"/>
      <c r="F321" s="14" t="str">
        <f aca="false">IF(E321="","",$B$7*(E321-$B$3)^2)</f>
        <v/>
      </c>
    </row>
    <row r="322" customFormat="false" ht="15" hidden="false" customHeight="false" outlineLevel="0" collapsed="false">
      <c r="D322" s="12" t="n">
        <v>319</v>
      </c>
      <c r="E322" s="13"/>
      <c r="F322" s="14" t="str">
        <f aca="false">IF(E322="","",$B$7*(E322-$B$3)^2)</f>
        <v/>
      </c>
    </row>
    <row r="323" customFormat="false" ht="15" hidden="false" customHeight="false" outlineLevel="0" collapsed="false">
      <c r="D323" s="12" t="n">
        <v>320</v>
      </c>
      <c r="E323" s="13"/>
      <c r="F323" s="14" t="str">
        <f aca="false">IF(E323="","",$B$7*(E323-$B$3)^2)</f>
        <v/>
      </c>
    </row>
    <row r="324" customFormat="false" ht="15" hidden="false" customHeight="false" outlineLevel="0" collapsed="false">
      <c r="D324" s="12" t="n">
        <v>321</v>
      </c>
      <c r="E324" s="13"/>
      <c r="F324" s="14" t="str">
        <f aca="false">IF(E324="","",$B$7*(E324-$B$3)^2)</f>
        <v/>
      </c>
    </row>
    <row r="325" customFormat="false" ht="15" hidden="false" customHeight="false" outlineLevel="0" collapsed="false">
      <c r="D325" s="12" t="n">
        <v>322</v>
      </c>
      <c r="E325" s="13"/>
      <c r="F325" s="14" t="str">
        <f aca="false">IF(E325="","",$B$7*(E325-$B$3)^2)</f>
        <v/>
      </c>
    </row>
    <row r="326" customFormat="false" ht="15" hidden="false" customHeight="false" outlineLevel="0" collapsed="false">
      <c r="D326" s="12" t="n">
        <v>323</v>
      </c>
      <c r="E326" s="13"/>
      <c r="F326" s="14" t="str">
        <f aca="false">IF(E326="","",$B$7*(E326-$B$3)^2)</f>
        <v/>
      </c>
    </row>
    <row r="327" customFormat="false" ht="15" hidden="false" customHeight="false" outlineLevel="0" collapsed="false">
      <c r="D327" s="12" t="n">
        <v>324</v>
      </c>
      <c r="E327" s="13"/>
      <c r="F327" s="14" t="str">
        <f aca="false">IF(E327="","",$B$7*(E327-$B$3)^2)</f>
        <v/>
      </c>
    </row>
    <row r="328" customFormat="false" ht="15" hidden="false" customHeight="false" outlineLevel="0" collapsed="false">
      <c r="D328" s="12" t="n">
        <v>325</v>
      </c>
      <c r="E328" s="13"/>
      <c r="F328" s="14" t="str">
        <f aca="false">IF(E328="","",$B$7*(E328-$B$3)^2)</f>
        <v/>
      </c>
    </row>
    <row r="329" customFormat="false" ht="15" hidden="false" customHeight="false" outlineLevel="0" collapsed="false">
      <c r="D329" s="12" t="n">
        <v>326</v>
      </c>
      <c r="E329" s="13"/>
      <c r="F329" s="14" t="str">
        <f aca="false">IF(E329="","",$B$7*(E329-$B$3)^2)</f>
        <v/>
      </c>
    </row>
    <row r="330" customFormat="false" ht="15" hidden="false" customHeight="false" outlineLevel="0" collapsed="false">
      <c r="D330" s="12" t="n">
        <v>327</v>
      </c>
      <c r="E330" s="13"/>
      <c r="F330" s="14" t="str">
        <f aca="false">IF(E330="","",$B$7*(E330-$B$3)^2)</f>
        <v/>
      </c>
    </row>
    <row r="331" customFormat="false" ht="15" hidden="false" customHeight="false" outlineLevel="0" collapsed="false">
      <c r="D331" s="12" t="n">
        <v>328</v>
      </c>
      <c r="E331" s="13"/>
      <c r="F331" s="14" t="str">
        <f aca="false">IF(E331="","",$B$7*(E331-$B$3)^2)</f>
        <v/>
      </c>
    </row>
    <row r="332" customFormat="false" ht="15" hidden="false" customHeight="false" outlineLevel="0" collapsed="false">
      <c r="D332" s="12" t="n">
        <v>329</v>
      </c>
      <c r="E332" s="13"/>
      <c r="F332" s="14" t="str">
        <f aca="false">IF(E332="","",$B$7*(E332-$B$3)^2)</f>
        <v/>
      </c>
    </row>
    <row r="333" customFormat="false" ht="15" hidden="false" customHeight="false" outlineLevel="0" collapsed="false">
      <c r="D333" s="12" t="n">
        <v>330</v>
      </c>
      <c r="E333" s="13"/>
      <c r="F333" s="14" t="str">
        <f aca="false">IF(E333="","",$B$7*(E333-$B$3)^2)</f>
        <v/>
      </c>
    </row>
    <row r="334" customFormat="false" ht="15" hidden="false" customHeight="false" outlineLevel="0" collapsed="false">
      <c r="D334" s="12" t="n">
        <v>331</v>
      </c>
      <c r="E334" s="13"/>
      <c r="F334" s="14" t="str">
        <f aca="false">IF(E334="","",$B$7*(E334-$B$3)^2)</f>
        <v/>
      </c>
    </row>
    <row r="335" customFormat="false" ht="15" hidden="false" customHeight="false" outlineLevel="0" collapsed="false">
      <c r="D335" s="12" t="n">
        <v>332</v>
      </c>
      <c r="E335" s="13"/>
      <c r="F335" s="14" t="str">
        <f aca="false">IF(E335="","",$B$7*(E335-$B$3)^2)</f>
        <v/>
      </c>
    </row>
    <row r="336" customFormat="false" ht="15" hidden="false" customHeight="false" outlineLevel="0" collapsed="false">
      <c r="D336" s="12" t="n">
        <v>333</v>
      </c>
      <c r="E336" s="13"/>
      <c r="F336" s="14" t="str">
        <f aca="false">IF(E336="","",$B$7*(E336-$B$3)^2)</f>
        <v/>
      </c>
    </row>
    <row r="337" customFormat="false" ht="15" hidden="false" customHeight="false" outlineLevel="0" collapsed="false">
      <c r="D337" s="12" t="n">
        <v>334</v>
      </c>
      <c r="E337" s="13"/>
      <c r="F337" s="14" t="str">
        <f aca="false">IF(E337="","",$B$7*(E337-$B$3)^2)</f>
        <v/>
      </c>
    </row>
    <row r="338" customFormat="false" ht="15" hidden="false" customHeight="false" outlineLevel="0" collapsed="false">
      <c r="D338" s="12" t="n">
        <v>335</v>
      </c>
      <c r="E338" s="13"/>
      <c r="F338" s="14" t="str">
        <f aca="false">IF(E338="","",$B$7*(E338-$B$3)^2)</f>
        <v/>
      </c>
    </row>
    <row r="339" customFormat="false" ht="15" hidden="false" customHeight="false" outlineLevel="0" collapsed="false">
      <c r="D339" s="12" t="n">
        <v>336</v>
      </c>
      <c r="E339" s="13"/>
      <c r="F339" s="14" t="str">
        <f aca="false">IF(E339="","",$B$7*(E339-$B$3)^2)</f>
        <v/>
      </c>
    </row>
    <row r="340" customFormat="false" ht="15" hidden="false" customHeight="false" outlineLevel="0" collapsed="false">
      <c r="D340" s="12" t="n">
        <v>337</v>
      </c>
      <c r="E340" s="13"/>
      <c r="F340" s="14" t="str">
        <f aca="false">IF(E340="","",$B$7*(E340-$B$3)^2)</f>
        <v/>
      </c>
    </row>
    <row r="341" customFormat="false" ht="15" hidden="false" customHeight="false" outlineLevel="0" collapsed="false">
      <c r="D341" s="12" t="n">
        <v>338</v>
      </c>
      <c r="E341" s="13"/>
      <c r="F341" s="14" t="str">
        <f aca="false">IF(E341="","",$B$7*(E341-$B$3)^2)</f>
        <v/>
      </c>
    </row>
    <row r="342" customFormat="false" ht="15" hidden="false" customHeight="false" outlineLevel="0" collapsed="false">
      <c r="D342" s="12" t="n">
        <v>339</v>
      </c>
      <c r="E342" s="13"/>
      <c r="F342" s="14" t="str">
        <f aca="false">IF(E342="","",$B$7*(E342-$B$3)^2)</f>
        <v/>
      </c>
    </row>
    <row r="343" customFormat="false" ht="15" hidden="false" customHeight="false" outlineLevel="0" collapsed="false">
      <c r="D343" s="12" t="n">
        <v>340</v>
      </c>
      <c r="E343" s="13"/>
      <c r="F343" s="14" t="str">
        <f aca="false">IF(E343="","",$B$7*(E343-$B$3)^2)</f>
        <v/>
      </c>
    </row>
    <row r="344" customFormat="false" ht="15" hidden="false" customHeight="false" outlineLevel="0" collapsed="false">
      <c r="D344" s="12" t="n">
        <v>341</v>
      </c>
      <c r="E344" s="13"/>
      <c r="F344" s="14" t="str">
        <f aca="false">IF(E344="","",$B$7*(E344-$B$3)^2)</f>
        <v/>
      </c>
    </row>
    <row r="345" customFormat="false" ht="15" hidden="false" customHeight="false" outlineLevel="0" collapsed="false">
      <c r="D345" s="12" t="n">
        <v>342</v>
      </c>
      <c r="E345" s="13"/>
      <c r="F345" s="14" t="str">
        <f aca="false">IF(E345="","",$B$7*(E345-$B$3)^2)</f>
        <v/>
      </c>
    </row>
    <row r="346" customFormat="false" ht="15" hidden="false" customHeight="false" outlineLevel="0" collapsed="false">
      <c r="D346" s="12" t="n">
        <v>343</v>
      </c>
      <c r="E346" s="13"/>
      <c r="F346" s="14" t="str">
        <f aca="false">IF(E346="","",$B$7*(E346-$B$3)^2)</f>
        <v/>
      </c>
    </row>
    <row r="347" customFormat="false" ht="15" hidden="false" customHeight="false" outlineLevel="0" collapsed="false">
      <c r="D347" s="12" t="n">
        <v>344</v>
      </c>
      <c r="E347" s="13"/>
      <c r="F347" s="14" t="str">
        <f aca="false">IF(E347="","",$B$7*(E347-$B$3)^2)</f>
        <v/>
      </c>
    </row>
    <row r="348" customFormat="false" ht="15" hidden="false" customHeight="false" outlineLevel="0" collapsed="false">
      <c r="D348" s="12" t="n">
        <v>345</v>
      </c>
      <c r="E348" s="13"/>
      <c r="F348" s="14" t="str">
        <f aca="false">IF(E348="","",$B$7*(E348-$B$3)^2)</f>
        <v/>
      </c>
    </row>
    <row r="349" customFormat="false" ht="15" hidden="false" customHeight="false" outlineLevel="0" collapsed="false">
      <c r="D349" s="12" t="n">
        <v>346</v>
      </c>
      <c r="E349" s="13"/>
      <c r="F349" s="14" t="str">
        <f aca="false">IF(E349="","",$B$7*(E349-$B$3)^2)</f>
        <v/>
      </c>
    </row>
    <row r="350" customFormat="false" ht="15" hidden="false" customHeight="false" outlineLevel="0" collapsed="false">
      <c r="D350" s="12" t="n">
        <v>347</v>
      </c>
      <c r="E350" s="13"/>
      <c r="F350" s="14" t="str">
        <f aca="false">IF(E350="","",$B$7*(E350-$B$3)^2)</f>
        <v/>
      </c>
    </row>
    <row r="351" customFormat="false" ht="15" hidden="false" customHeight="false" outlineLevel="0" collapsed="false">
      <c r="D351" s="12" t="n">
        <v>348</v>
      </c>
      <c r="E351" s="13"/>
      <c r="F351" s="14" t="str">
        <f aca="false">IF(E351="","",$B$7*(E351-$B$3)^2)</f>
        <v/>
      </c>
    </row>
    <row r="352" customFormat="false" ht="15" hidden="false" customHeight="false" outlineLevel="0" collapsed="false">
      <c r="D352" s="12" t="n">
        <v>349</v>
      </c>
      <c r="E352" s="13"/>
      <c r="F352" s="14" t="str">
        <f aca="false">IF(E352="","",$B$7*(E352-$B$3)^2)</f>
        <v/>
      </c>
    </row>
    <row r="353" customFormat="false" ht="15" hidden="false" customHeight="false" outlineLevel="0" collapsed="false">
      <c r="D353" s="12" t="n">
        <v>350</v>
      </c>
      <c r="E353" s="13"/>
      <c r="F353" s="14" t="str">
        <f aca="false">IF(E353="","",$B$7*(E353-$B$3)^2)</f>
        <v/>
      </c>
    </row>
    <row r="354" customFormat="false" ht="15" hidden="false" customHeight="false" outlineLevel="0" collapsed="false">
      <c r="D354" s="12" t="n">
        <v>351</v>
      </c>
      <c r="E354" s="13"/>
      <c r="F354" s="14" t="str">
        <f aca="false">IF(E354="","",$B$7*(E354-$B$3)^2)</f>
        <v/>
      </c>
    </row>
    <row r="355" customFormat="false" ht="15" hidden="false" customHeight="false" outlineLevel="0" collapsed="false">
      <c r="D355" s="12" t="n">
        <v>352</v>
      </c>
      <c r="E355" s="13"/>
      <c r="F355" s="14" t="str">
        <f aca="false">IF(E355="","",$B$7*(E355-$B$3)^2)</f>
        <v/>
      </c>
    </row>
    <row r="356" customFormat="false" ht="15" hidden="false" customHeight="false" outlineLevel="0" collapsed="false">
      <c r="D356" s="12" t="n">
        <v>353</v>
      </c>
      <c r="E356" s="13"/>
      <c r="F356" s="14" t="str">
        <f aca="false">IF(E356="","",$B$7*(E356-$B$3)^2)</f>
        <v/>
      </c>
    </row>
    <row r="357" customFormat="false" ht="15" hidden="false" customHeight="false" outlineLevel="0" collapsed="false">
      <c r="D357" s="12" t="n">
        <v>354</v>
      </c>
      <c r="E357" s="13"/>
      <c r="F357" s="14" t="str">
        <f aca="false">IF(E357="","",$B$7*(E357-$B$3)^2)</f>
        <v/>
      </c>
    </row>
    <row r="358" customFormat="false" ht="15" hidden="false" customHeight="false" outlineLevel="0" collapsed="false">
      <c r="D358" s="12" t="n">
        <v>355</v>
      </c>
      <c r="E358" s="13"/>
      <c r="F358" s="14" t="str">
        <f aca="false">IF(E358="","",$B$7*(E358-$B$3)^2)</f>
        <v/>
      </c>
    </row>
    <row r="359" customFormat="false" ht="15" hidden="false" customHeight="false" outlineLevel="0" collapsed="false">
      <c r="D359" s="12" t="n">
        <v>356</v>
      </c>
      <c r="E359" s="13"/>
      <c r="F359" s="14" t="str">
        <f aca="false">IF(E359="","",$B$7*(E359-$B$3)^2)</f>
        <v/>
      </c>
    </row>
    <row r="360" customFormat="false" ht="15" hidden="false" customHeight="false" outlineLevel="0" collapsed="false">
      <c r="D360" s="12" t="n">
        <v>357</v>
      </c>
      <c r="E360" s="13"/>
      <c r="F360" s="14" t="str">
        <f aca="false">IF(E360="","",$B$7*(E360-$B$3)^2)</f>
        <v/>
      </c>
    </row>
    <row r="361" customFormat="false" ht="15" hidden="false" customHeight="false" outlineLevel="0" collapsed="false">
      <c r="D361" s="12" t="n">
        <v>358</v>
      </c>
      <c r="E361" s="13"/>
      <c r="F361" s="14" t="str">
        <f aca="false">IF(E361="","",$B$7*(E361-$B$3)^2)</f>
        <v/>
      </c>
    </row>
    <row r="362" customFormat="false" ht="15" hidden="false" customHeight="false" outlineLevel="0" collapsed="false">
      <c r="D362" s="12" t="n">
        <v>359</v>
      </c>
      <c r="E362" s="13"/>
      <c r="F362" s="14" t="str">
        <f aca="false">IF(E362="","",$B$7*(E362-$B$3)^2)</f>
        <v/>
      </c>
    </row>
    <row r="363" customFormat="false" ht="15" hidden="false" customHeight="false" outlineLevel="0" collapsed="false">
      <c r="D363" s="12" t="n">
        <v>360</v>
      </c>
      <c r="E363" s="13"/>
      <c r="F363" s="14" t="str">
        <f aca="false">IF(E363="","",$B$7*(E363-$B$3)^2)</f>
        <v/>
      </c>
    </row>
    <row r="364" customFormat="false" ht="15" hidden="false" customHeight="false" outlineLevel="0" collapsed="false">
      <c r="D364" s="12" t="n">
        <v>361</v>
      </c>
      <c r="E364" s="13"/>
      <c r="F364" s="14" t="str">
        <f aca="false">IF(E364="","",$B$7*(E364-$B$3)^2)</f>
        <v/>
      </c>
    </row>
    <row r="365" customFormat="false" ht="15" hidden="false" customHeight="false" outlineLevel="0" collapsed="false">
      <c r="D365" s="12" t="n">
        <v>362</v>
      </c>
      <c r="E365" s="13"/>
      <c r="F365" s="14" t="str">
        <f aca="false">IF(E365="","",$B$7*(E365-$B$3)^2)</f>
        <v/>
      </c>
    </row>
    <row r="366" customFormat="false" ht="15" hidden="false" customHeight="false" outlineLevel="0" collapsed="false">
      <c r="D366" s="12" t="n">
        <v>363</v>
      </c>
      <c r="E366" s="13"/>
      <c r="F366" s="14" t="str">
        <f aca="false">IF(E366="","",$B$7*(E366-$B$3)^2)</f>
        <v/>
      </c>
    </row>
    <row r="367" customFormat="false" ht="15" hidden="false" customHeight="false" outlineLevel="0" collapsed="false">
      <c r="D367" s="12" t="n">
        <v>364</v>
      </c>
      <c r="E367" s="13"/>
      <c r="F367" s="14" t="str">
        <f aca="false">IF(E367="","",$B$7*(E367-$B$3)^2)</f>
        <v/>
      </c>
    </row>
    <row r="368" customFormat="false" ht="15" hidden="false" customHeight="false" outlineLevel="0" collapsed="false">
      <c r="D368" s="12" t="n">
        <v>365</v>
      </c>
      <c r="E368" s="13"/>
      <c r="F368" s="14" t="str">
        <f aca="false">IF(E368="","",$B$7*(E368-$B$3)^2)</f>
        <v/>
      </c>
    </row>
    <row r="369" customFormat="false" ht="15" hidden="false" customHeight="false" outlineLevel="0" collapsed="false">
      <c r="D369" s="12" t="n">
        <v>366</v>
      </c>
      <c r="E369" s="13"/>
      <c r="F369" s="14" t="str">
        <f aca="false">IF(E369="","",$B$7*(E369-$B$3)^2)</f>
        <v/>
      </c>
    </row>
    <row r="370" customFormat="false" ht="15" hidden="false" customHeight="false" outlineLevel="0" collapsed="false">
      <c r="D370" s="12" t="n">
        <v>367</v>
      </c>
      <c r="E370" s="13"/>
      <c r="F370" s="14" t="str">
        <f aca="false">IF(E370="","",$B$7*(E370-$B$3)^2)</f>
        <v/>
      </c>
    </row>
    <row r="371" customFormat="false" ht="15" hidden="false" customHeight="false" outlineLevel="0" collapsed="false">
      <c r="D371" s="12" t="n">
        <v>368</v>
      </c>
      <c r="E371" s="13"/>
      <c r="F371" s="14" t="str">
        <f aca="false">IF(E371="","",$B$7*(E371-$B$3)^2)</f>
        <v/>
      </c>
    </row>
    <row r="372" customFormat="false" ht="15" hidden="false" customHeight="false" outlineLevel="0" collapsed="false">
      <c r="D372" s="12" t="n">
        <v>369</v>
      </c>
      <c r="E372" s="13"/>
      <c r="F372" s="14" t="str">
        <f aca="false">IF(E372="","",$B$7*(E372-$B$3)^2)</f>
        <v/>
      </c>
    </row>
    <row r="373" customFormat="false" ht="15" hidden="false" customHeight="false" outlineLevel="0" collapsed="false">
      <c r="D373" s="12" t="n">
        <v>370</v>
      </c>
      <c r="E373" s="13"/>
      <c r="F373" s="14" t="str">
        <f aca="false">IF(E373="","",$B$7*(E373-$B$3)^2)</f>
        <v/>
      </c>
    </row>
    <row r="374" customFormat="false" ht="15" hidden="false" customHeight="false" outlineLevel="0" collapsed="false">
      <c r="D374" s="12" t="n">
        <v>371</v>
      </c>
      <c r="E374" s="13"/>
      <c r="F374" s="14" t="str">
        <f aca="false">IF(E374="","",$B$7*(E374-$B$3)^2)</f>
        <v/>
      </c>
    </row>
    <row r="375" customFormat="false" ht="15" hidden="false" customHeight="false" outlineLevel="0" collapsed="false">
      <c r="D375" s="12" t="n">
        <v>372</v>
      </c>
      <c r="E375" s="13"/>
      <c r="F375" s="14" t="str">
        <f aca="false">IF(E375="","",$B$7*(E375-$B$3)^2)</f>
        <v/>
      </c>
    </row>
    <row r="376" customFormat="false" ht="15" hidden="false" customHeight="false" outlineLevel="0" collapsed="false">
      <c r="D376" s="12" t="n">
        <v>373</v>
      </c>
      <c r="E376" s="13"/>
      <c r="F376" s="14" t="str">
        <f aca="false">IF(E376="","",$B$7*(E376-$B$3)^2)</f>
        <v/>
      </c>
    </row>
    <row r="377" customFormat="false" ht="15" hidden="false" customHeight="false" outlineLevel="0" collapsed="false">
      <c r="D377" s="12" t="n">
        <v>374</v>
      </c>
      <c r="E377" s="13"/>
      <c r="F377" s="14" t="str">
        <f aca="false">IF(E377="","",$B$7*(E377-$B$3)^2)</f>
        <v/>
      </c>
    </row>
    <row r="378" customFormat="false" ht="15" hidden="false" customHeight="false" outlineLevel="0" collapsed="false">
      <c r="D378" s="12" t="n">
        <v>375</v>
      </c>
      <c r="E378" s="13"/>
      <c r="F378" s="14" t="str">
        <f aca="false">IF(E378="","",$B$7*(E378-$B$3)^2)</f>
        <v/>
      </c>
    </row>
    <row r="379" customFormat="false" ht="15" hidden="false" customHeight="false" outlineLevel="0" collapsed="false">
      <c r="D379" s="12" t="n">
        <v>376</v>
      </c>
      <c r="E379" s="13"/>
      <c r="F379" s="14" t="str">
        <f aca="false">IF(E379="","",$B$7*(E379-$B$3)^2)</f>
        <v/>
      </c>
    </row>
    <row r="380" customFormat="false" ht="15" hidden="false" customHeight="false" outlineLevel="0" collapsed="false">
      <c r="D380" s="12" t="n">
        <v>377</v>
      </c>
      <c r="E380" s="13"/>
      <c r="F380" s="14" t="str">
        <f aca="false">IF(E380="","",$B$7*(E380-$B$3)^2)</f>
        <v/>
      </c>
    </row>
    <row r="381" customFormat="false" ht="15" hidden="false" customHeight="false" outlineLevel="0" collapsed="false">
      <c r="D381" s="12" t="n">
        <v>378</v>
      </c>
      <c r="E381" s="13"/>
      <c r="F381" s="14" t="str">
        <f aca="false">IF(E381="","",$B$7*(E381-$B$3)^2)</f>
        <v/>
      </c>
    </row>
    <row r="382" customFormat="false" ht="15" hidden="false" customHeight="false" outlineLevel="0" collapsed="false">
      <c r="D382" s="12" t="n">
        <v>379</v>
      </c>
      <c r="E382" s="13"/>
      <c r="F382" s="14" t="str">
        <f aca="false">IF(E382="","",$B$7*(E382-$B$3)^2)</f>
        <v/>
      </c>
    </row>
    <row r="383" customFormat="false" ht="15" hidden="false" customHeight="false" outlineLevel="0" collapsed="false">
      <c r="D383" s="12" t="n">
        <v>380</v>
      </c>
      <c r="E383" s="13"/>
      <c r="F383" s="14" t="str">
        <f aca="false">IF(E383="","",$B$7*(E383-$B$3)^2)</f>
        <v/>
      </c>
    </row>
    <row r="384" customFormat="false" ht="15" hidden="false" customHeight="false" outlineLevel="0" collapsed="false">
      <c r="D384" s="12" t="n">
        <v>381</v>
      </c>
      <c r="E384" s="13"/>
      <c r="F384" s="14" t="str">
        <f aca="false">IF(E384="","",$B$7*(E384-$B$3)^2)</f>
        <v/>
      </c>
    </row>
    <row r="385" customFormat="false" ht="15" hidden="false" customHeight="false" outlineLevel="0" collapsed="false">
      <c r="D385" s="12" t="n">
        <v>382</v>
      </c>
      <c r="E385" s="13"/>
      <c r="F385" s="14" t="str">
        <f aca="false">IF(E385="","",$B$7*(E385-$B$3)^2)</f>
        <v/>
      </c>
    </row>
    <row r="386" customFormat="false" ht="15" hidden="false" customHeight="false" outlineLevel="0" collapsed="false">
      <c r="D386" s="12" t="n">
        <v>383</v>
      </c>
      <c r="E386" s="13"/>
      <c r="F386" s="14" t="str">
        <f aca="false">IF(E386="","",$B$7*(E386-$B$3)^2)</f>
        <v/>
      </c>
    </row>
    <row r="387" customFormat="false" ht="15" hidden="false" customHeight="false" outlineLevel="0" collapsed="false">
      <c r="D387" s="12" t="n">
        <v>384</v>
      </c>
      <c r="E387" s="13"/>
      <c r="F387" s="14" t="str">
        <f aca="false">IF(E387="","",$B$7*(E387-$B$3)^2)</f>
        <v/>
      </c>
    </row>
    <row r="388" customFormat="false" ht="15" hidden="false" customHeight="false" outlineLevel="0" collapsed="false">
      <c r="D388" s="12" t="n">
        <v>385</v>
      </c>
      <c r="E388" s="13"/>
      <c r="F388" s="14" t="str">
        <f aca="false">IF(E388="","",$B$7*(E388-$B$3)^2)</f>
        <v/>
      </c>
    </row>
    <row r="389" customFormat="false" ht="15" hidden="false" customHeight="false" outlineLevel="0" collapsed="false">
      <c r="D389" s="12" t="n">
        <v>386</v>
      </c>
      <c r="E389" s="13"/>
      <c r="F389" s="14" t="str">
        <f aca="false">IF(E389="","",$B$7*(E389-$B$3)^2)</f>
        <v/>
      </c>
    </row>
    <row r="390" customFormat="false" ht="15" hidden="false" customHeight="false" outlineLevel="0" collapsed="false">
      <c r="D390" s="12" t="n">
        <v>387</v>
      </c>
      <c r="E390" s="13"/>
      <c r="F390" s="14" t="str">
        <f aca="false">IF(E390="","",$B$7*(E390-$B$3)^2)</f>
        <v/>
      </c>
    </row>
    <row r="391" customFormat="false" ht="15" hidden="false" customHeight="false" outlineLevel="0" collapsed="false">
      <c r="D391" s="12" t="n">
        <v>388</v>
      </c>
      <c r="E391" s="13"/>
      <c r="F391" s="14" t="str">
        <f aca="false">IF(E391="","",$B$7*(E391-$B$3)^2)</f>
        <v/>
      </c>
    </row>
    <row r="392" customFormat="false" ht="15" hidden="false" customHeight="false" outlineLevel="0" collapsed="false">
      <c r="D392" s="12" t="n">
        <v>389</v>
      </c>
      <c r="E392" s="13"/>
      <c r="F392" s="14" t="str">
        <f aca="false">IF(E392="","",$B$7*(E392-$B$3)^2)</f>
        <v/>
      </c>
    </row>
    <row r="393" customFormat="false" ht="15" hidden="false" customHeight="false" outlineLevel="0" collapsed="false">
      <c r="D393" s="12" t="n">
        <v>390</v>
      </c>
      <c r="E393" s="13"/>
      <c r="F393" s="14" t="str">
        <f aca="false">IF(E393="","",$B$7*(E393-$B$3)^2)</f>
        <v/>
      </c>
    </row>
    <row r="394" customFormat="false" ht="15" hidden="false" customHeight="false" outlineLevel="0" collapsed="false">
      <c r="D394" s="12" t="n">
        <v>391</v>
      </c>
      <c r="E394" s="13"/>
      <c r="F394" s="14" t="str">
        <f aca="false">IF(E394="","",$B$7*(E394-$B$3)^2)</f>
        <v/>
      </c>
    </row>
    <row r="395" customFormat="false" ht="15" hidden="false" customHeight="false" outlineLevel="0" collapsed="false">
      <c r="D395" s="12" t="n">
        <v>392</v>
      </c>
      <c r="E395" s="13"/>
      <c r="F395" s="14" t="str">
        <f aca="false">IF(E395="","",$B$7*(E395-$B$3)^2)</f>
        <v/>
      </c>
    </row>
    <row r="396" customFormat="false" ht="15" hidden="false" customHeight="false" outlineLevel="0" collapsed="false">
      <c r="D396" s="12" t="n">
        <v>393</v>
      </c>
      <c r="E396" s="13"/>
      <c r="F396" s="14" t="str">
        <f aca="false">IF(E396="","",$B$7*(E396-$B$3)^2)</f>
        <v/>
      </c>
    </row>
    <row r="397" customFormat="false" ht="15" hidden="false" customHeight="false" outlineLevel="0" collapsed="false">
      <c r="D397" s="12" t="n">
        <v>394</v>
      </c>
      <c r="E397" s="13"/>
      <c r="F397" s="14" t="str">
        <f aca="false">IF(E397="","",$B$7*(E397-$B$3)^2)</f>
        <v/>
      </c>
    </row>
    <row r="398" customFormat="false" ht="15" hidden="false" customHeight="false" outlineLevel="0" collapsed="false">
      <c r="D398" s="12" t="n">
        <v>395</v>
      </c>
      <c r="E398" s="13"/>
      <c r="F398" s="14" t="str">
        <f aca="false">IF(E398="","",$B$7*(E398-$B$3)^2)</f>
        <v/>
      </c>
    </row>
    <row r="399" customFormat="false" ht="15" hidden="false" customHeight="false" outlineLevel="0" collapsed="false">
      <c r="D399" s="12" t="n">
        <v>396</v>
      </c>
      <c r="E399" s="13"/>
      <c r="F399" s="14" t="str">
        <f aca="false">IF(E399="","",$B$7*(E399-$B$3)^2)</f>
        <v/>
      </c>
    </row>
    <row r="400" customFormat="false" ht="15" hidden="false" customHeight="false" outlineLevel="0" collapsed="false">
      <c r="D400" s="12" t="n">
        <v>397</v>
      </c>
      <c r="E400" s="13"/>
      <c r="F400" s="14" t="str">
        <f aca="false">IF(E400="","",$B$7*(E400-$B$3)^2)</f>
        <v/>
      </c>
    </row>
    <row r="401" customFormat="false" ht="15" hidden="false" customHeight="false" outlineLevel="0" collapsed="false">
      <c r="D401" s="12" t="n">
        <v>398</v>
      </c>
      <c r="E401" s="13"/>
      <c r="F401" s="14" t="str">
        <f aca="false">IF(E401="","",$B$7*(E401-$B$3)^2)</f>
        <v/>
      </c>
    </row>
    <row r="402" customFormat="false" ht="15" hidden="false" customHeight="false" outlineLevel="0" collapsed="false">
      <c r="D402" s="12" t="n">
        <v>399</v>
      </c>
      <c r="E402" s="13"/>
      <c r="F402" s="14" t="str">
        <f aca="false">IF(E402="","",$B$7*(E402-$B$3)^2)</f>
        <v/>
      </c>
    </row>
    <row r="403" customFormat="false" ht="15" hidden="false" customHeight="false" outlineLevel="0" collapsed="false">
      <c r="D403" s="12" t="n">
        <v>400</v>
      </c>
      <c r="E403" s="13"/>
      <c r="F403" s="14" t="str">
        <f aca="false">IF(E403="","",$B$7*(E403-$B$3)^2)</f>
        <v/>
      </c>
    </row>
    <row r="404" customFormat="false" ht="15" hidden="false" customHeight="false" outlineLevel="0" collapsed="false">
      <c r="D404" s="12" t="n">
        <v>401</v>
      </c>
      <c r="E404" s="13"/>
      <c r="F404" s="14" t="str">
        <f aca="false">IF(E404="","",$B$7*(E404-$B$3)^2)</f>
        <v/>
      </c>
    </row>
    <row r="405" customFormat="false" ht="15" hidden="false" customHeight="false" outlineLevel="0" collapsed="false">
      <c r="D405" s="12" t="n">
        <v>402</v>
      </c>
      <c r="E405" s="13"/>
      <c r="F405" s="14" t="str">
        <f aca="false">IF(E405="","",$B$7*(E405-$B$3)^2)</f>
        <v/>
      </c>
    </row>
    <row r="406" customFormat="false" ht="15" hidden="false" customHeight="false" outlineLevel="0" collapsed="false">
      <c r="D406" s="12" t="n">
        <v>403</v>
      </c>
      <c r="E406" s="13"/>
      <c r="F406" s="14" t="str">
        <f aca="false">IF(E406="","",$B$7*(E406-$B$3)^2)</f>
        <v/>
      </c>
    </row>
    <row r="407" customFormat="false" ht="15" hidden="false" customHeight="false" outlineLevel="0" collapsed="false">
      <c r="D407" s="12" t="n">
        <v>404</v>
      </c>
      <c r="E407" s="13"/>
      <c r="F407" s="14" t="str">
        <f aca="false">IF(E407="","",$B$7*(E407-$B$3)^2)</f>
        <v/>
      </c>
    </row>
    <row r="408" customFormat="false" ht="15" hidden="false" customHeight="false" outlineLevel="0" collapsed="false">
      <c r="D408" s="12" t="n">
        <v>405</v>
      </c>
      <c r="E408" s="13"/>
      <c r="F408" s="14" t="str">
        <f aca="false">IF(E408="","",$B$7*(E408-$B$3)^2)</f>
        <v/>
      </c>
    </row>
    <row r="409" customFormat="false" ht="15" hidden="false" customHeight="false" outlineLevel="0" collapsed="false">
      <c r="D409" s="12" t="n">
        <v>406</v>
      </c>
      <c r="E409" s="13"/>
      <c r="F409" s="14" t="str">
        <f aca="false">IF(E409="","",$B$7*(E409-$B$3)^2)</f>
        <v/>
      </c>
    </row>
    <row r="410" customFormat="false" ht="15" hidden="false" customHeight="false" outlineLevel="0" collapsed="false">
      <c r="D410" s="12" t="n">
        <v>407</v>
      </c>
      <c r="E410" s="13"/>
      <c r="F410" s="14" t="str">
        <f aca="false">IF(E410="","",$B$7*(E410-$B$3)^2)</f>
        <v/>
      </c>
    </row>
    <row r="411" customFormat="false" ht="15" hidden="false" customHeight="false" outlineLevel="0" collapsed="false">
      <c r="D411" s="12" t="n">
        <v>408</v>
      </c>
      <c r="E411" s="13"/>
      <c r="F411" s="14" t="str">
        <f aca="false">IF(E411="","",$B$7*(E411-$B$3)^2)</f>
        <v/>
      </c>
    </row>
    <row r="412" customFormat="false" ht="15" hidden="false" customHeight="false" outlineLevel="0" collapsed="false">
      <c r="D412" s="12" t="n">
        <v>409</v>
      </c>
      <c r="E412" s="13"/>
      <c r="F412" s="14" t="str">
        <f aca="false">IF(E412="","",$B$7*(E412-$B$3)^2)</f>
        <v/>
      </c>
    </row>
    <row r="413" customFormat="false" ht="15" hidden="false" customHeight="false" outlineLevel="0" collapsed="false">
      <c r="D413" s="12" t="n">
        <v>410</v>
      </c>
      <c r="E413" s="13"/>
      <c r="F413" s="14" t="str">
        <f aca="false">IF(E413="","",$B$7*(E413-$B$3)^2)</f>
        <v/>
      </c>
    </row>
    <row r="414" customFormat="false" ht="15" hidden="false" customHeight="false" outlineLevel="0" collapsed="false">
      <c r="D414" s="12" t="n">
        <v>411</v>
      </c>
      <c r="E414" s="13"/>
      <c r="F414" s="14" t="str">
        <f aca="false">IF(E414="","",$B$7*(E414-$B$3)^2)</f>
        <v/>
      </c>
    </row>
    <row r="415" customFormat="false" ht="15" hidden="false" customHeight="false" outlineLevel="0" collapsed="false">
      <c r="D415" s="12" t="n">
        <v>412</v>
      </c>
      <c r="E415" s="13"/>
      <c r="F415" s="14" t="str">
        <f aca="false">IF(E415="","",$B$7*(E415-$B$3)^2)</f>
        <v/>
      </c>
    </row>
    <row r="416" customFormat="false" ht="15" hidden="false" customHeight="false" outlineLevel="0" collapsed="false">
      <c r="D416" s="12" t="n">
        <v>413</v>
      </c>
      <c r="E416" s="13"/>
      <c r="F416" s="14" t="str">
        <f aca="false">IF(E416="","",$B$7*(E416-$B$3)^2)</f>
        <v/>
      </c>
    </row>
    <row r="417" customFormat="false" ht="15" hidden="false" customHeight="false" outlineLevel="0" collapsed="false">
      <c r="D417" s="12" t="n">
        <v>414</v>
      </c>
      <c r="E417" s="13"/>
      <c r="F417" s="14" t="str">
        <f aca="false">IF(E417="","",$B$7*(E417-$B$3)^2)</f>
        <v/>
      </c>
    </row>
    <row r="418" customFormat="false" ht="15" hidden="false" customHeight="false" outlineLevel="0" collapsed="false">
      <c r="D418" s="12" t="n">
        <v>415</v>
      </c>
      <c r="E418" s="13"/>
      <c r="F418" s="14" t="str">
        <f aca="false">IF(E418="","",$B$7*(E418-$B$3)^2)</f>
        <v/>
      </c>
    </row>
    <row r="419" customFormat="false" ht="15" hidden="false" customHeight="false" outlineLevel="0" collapsed="false">
      <c r="D419" s="12" t="n">
        <v>416</v>
      </c>
      <c r="E419" s="13"/>
      <c r="F419" s="14" t="str">
        <f aca="false">IF(E419="","",$B$7*(E419-$B$3)^2)</f>
        <v/>
      </c>
    </row>
    <row r="420" customFormat="false" ht="15" hidden="false" customHeight="false" outlineLevel="0" collapsed="false">
      <c r="D420" s="12" t="n">
        <v>417</v>
      </c>
      <c r="E420" s="13"/>
      <c r="F420" s="14" t="str">
        <f aca="false">IF(E420="","",$B$7*(E420-$B$3)^2)</f>
        <v/>
      </c>
    </row>
    <row r="421" customFormat="false" ht="15" hidden="false" customHeight="false" outlineLevel="0" collapsed="false">
      <c r="D421" s="12" t="n">
        <v>418</v>
      </c>
      <c r="E421" s="13"/>
      <c r="F421" s="14" t="str">
        <f aca="false">IF(E421="","",$B$7*(E421-$B$3)^2)</f>
        <v/>
      </c>
    </row>
    <row r="422" customFormat="false" ht="15" hidden="false" customHeight="false" outlineLevel="0" collapsed="false">
      <c r="D422" s="12" t="n">
        <v>419</v>
      </c>
      <c r="E422" s="13"/>
      <c r="F422" s="14" t="str">
        <f aca="false">IF(E422="","",$B$7*(E422-$B$3)^2)</f>
        <v/>
      </c>
    </row>
    <row r="423" customFormat="false" ht="15" hidden="false" customHeight="false" outlineLevel="0" collapsed="false">
      <c r="D423" s="12" t="n">
        <v>420</v>
      </c>
      <c r="E423" s="13"/>
      <c r="F423" s="14" t="str">
        <f aca="false">IF(E423="","",$B$7*(E423-$B$3)^2)</f>
        <v/>
      </c>
    </row>
    <row r="424" customFormat="false" ht="15" hidden="false" customHeight="false" outlineLevel="0" collapsed="false">
      <c r="D424" s="12" t="n">
        <v>421</v>
      </c>
      <c r="E424" s="13"/>
      <c r="F424" s="14" t="str">
        <f aca="false">IF(E424="","",$B$7*(E424-$B$3)^2)</f>
        <v/>
      </c>
    </row>
    <row r="425" customFormat="false" ht="15" hidden="false" customHeight="false" outlineLevel="0" collapsed="false">
      <c r="D425" s="12" t="n">
        <v>422</v>
      </c>
      <c r="E425" s="13"/>
      <c r="F425" s="14" t="str">
        <f aca="false">IF(E425="","",$B$7*(E425-$B$3)^2)</f>
        <v/>
      </c>
    </row>
    <row r="426" customFormat="false" ht="15" hidden="false" customHeight="false" outlineLevel="0" collapsed="false">
      <c r="D426" s="12" t="n">
        <v>423</v>
      </c>
      <c r="E426" s="13"/>
      <c r="F426" s="14" t="str">
        <f aca="false">IF(E426="","",$B$7*(E426-$B$3)^2)</f>
        <v/>
      </c>
    </row>
    <row r="427" customFormat="false" ht="15" hidden="false" customHeight="false" outlineLevel="0" collapsed="false">
      <c r="D427" s="12" t="n">
        <v>424</v>
      </c>
      <c r="E427" s="13"/>
      <c r="F427" s="14" t="str">
        <f aca="false">IF(E427="","",$B$7*(E427-$B$3)^2)</f>
        <v/>
      </c>
    </row>
    <row r="428" customFormat="false" ht="15" hidden="false" customHeight="false" outlineLevel="0" collapsed="false">
      <c r="D428" s="12" t="n">
        <v>425</v>
      </c>
      <c r="E428" s="13"/>
      <c r="F428" s="14" t="str">
        <f aca="false">IF(E428="","",$B$7*(E428-$B$3)^2)</f>
        <v/>
      </c>
    </row>
    <row r="429" customFormat="false" ht="15" hidden="false" customHeight="false" outlineLevel="0" collapsed="false">
      <c r="D429" s="12" t="n">
        <v>426</v>
      </c>
      <c r="E429" s="13"/>
      <c r="F429" s="14" t="str">
        <f aca="false">IF(E429="","",$B$7*(E429-$B$3)^2)</f>
        <v/>
      </c>
    </row>
    <row r="430" customFormat="false" ht="15" hidden="false" customHeight="false" outlineLevel="0" collapsed="false">
      <c r="D430" s="12" t="n">
        <v>427</v>
      </c>
      <c r="E430" s="13"/>
      <c r="F430" s="14" t="str">
        <f aca="false">IF(E430="","",$B$7*(E430-$B$3)^2)</f>
        <v/>
      </c>
    </row>
    <row r="431" customFormat="false" ht="15" hidden="false" customHeight="false" outlineLevel="0" collapsed="false">
      <c r="D431" s="12" t="n">
        <v>428</v>
      </c>
      <c r="E431" s="13"/>
      <c r="F431" s="14" t="str">
        <f aca="false">IF(E431="","",$B$7*(E431-$B$3)^2)</f>
        <v/>
      </c>
    </row>
    <row r="432" customFormat="false" ht="15" hidden="false" customHeight="false" outlineLevel="0" collapsed="false">
      <c r="D432" s="12" t="n">
        <v>429</v>
      </c>
      <c r="E432" s="13"/>
      <c r="F432" s="14" t="str">
        <f aca="false">IF(E432="","",$B$7*(E432-$B$3)^2)</f>
        <v/>
      </c>
    </row>
    <row r="433" customFormat="false" ht="15" hidden="false" customHeight="false" outlineLevel="0" collapsed="false">
      <c r="D433" s="12" t="n">
        <v>430</v>
      </c>
      <c r="E433" s="13"/>
      <c r="F433" s="14" t="str">
        <f aca="false">IF(E433="","",$B$7*(E433-$B$3)^2)</f>
        <v/>
      </c>
    </row>
    <row r="434" customFormat="false" ht="15" hidden="false" customHeight="false" outlineLevel="0" collapsed="false">
      <c r="D434" s="12" t="n">
        <v>431</v>
      </c>
      <c r="E434" s="13"/>
      <c r="F434" s="14" t="str">
        <f aca="false">IF(E434="","",$B$7*(E434-$B$3)^2)</f>
        <v/>
      </c>
    </row>
    <row r="435" customFormat="false" ht="15" hidden="false" customHeight="false" outlineLevel="0" collapsed="false">
      <c r="D435" s="12" t="n">
        <v>432</v>
      </c>
      <c r="E435" s="13"/>
      <c r="F435" s="14" t="str">
        <f aca="false">IF(E435="","",$B$7*(E435-$B$3)^2)</f>
        <v/>
      </c>
    </row>
    <row r="436" customFormat="false" ht="15" hidden="false" customHeight="false" outlineLevel="0" collapsed="false">
      <c r="D436" s="12" t="n">
        <v>433</v>
      </c>
      <c r="E436" s="13"/>
      <c r="F436" s="14" t="str">
        <f aca="false">IF(E436="","",$B$7*(E436-$B$3)^2)</f>
        <v/>
      </c>
    </row>
    <row r="437" customFormat="false" ht="15" hidden="false" customHeight="false" outlineLevel="0" collapsed="false">
      <c r="D437" s="12" t="n">
        <v>434</v>
      </c>
      <c r="E437" s="13"/>
      <c r="F437" s="14" t="str">
        <f aca="false">IF(E437="","",$B$7*(E437-$B$3)^2)</f>
        <v/>
      </c>
    </row>
    <row r="438" customFormat="false" ht="15" hidden="false" customHeight="false" outlineLevel="0" collapsed="false">
      <c r="D438" s="12" t="n">
        <v>435</v>
      </c>
      <c r="E438" s="13"/>
      <c r="F438" s="14" t="str">
        <f aca="false">IF(E438="","",$B$7*(E438-$B$3)^2)</f>
        <v/>
      </c>
    </row>
    <row r="439" customFormat="false" ht="15" hidden="false" customHeight="false" outlineLevel="0" collapsed="false">
      <c r="D439" s="12" t="n">
        <v>436</v>
      </c>
      <c r="E439" s="13"/>
      <c r="F439" s="14" t="str">
        <f aca="false">IF(E439="","",$B$7*(E439-$B$3)^2)</f>
        <v/>
      </c>
    </row>
    <row r="440" customFormat="false" ht="15" hidden="false" customHeight="false" outlineLevel="0" collapsed="false">
      <c r="D440" s="12" t="n">
        <v>437</v>
      </c>
      <c r="E440" s="13"/>
      <c r="F440" s="14" t="str">
        <f aca="false">IF(E440="","",$B$7*(E440-$B$3)^2)</f>
        <v/>
      </c>
    </row>
    <row r="441" customFormat="false" ht="15" hidden="false" customHeight="false" outlineLevel="0" collapsed="false">
      <c r="D441" s="12" t="n">
        <v>438</v>
      </c>
      <c r="E441" s="13"/>
      <c r="F441" s="14" t="str">
        <f aca="false">IF(E441="","",$B$7*(E441-$B$3)^2)</f>
        <v/>
      </c>
    </row>
    <row r="442" customFormat="false" ht="15" hidden="false" customHeight="false" outlineLevel="0" collapsed="false">
      <c r="D442" s="12" t="n">
        <v>439</v>
      </c>
      <c r="E442" s="13"/>
      <c r="F442" s="14" t="str">
        <f aca="false">IF(E442="","",$B$7*(E442-$B$3)^2)</f>
        <v/>
      </c>
    </row>
    <row r="443" customFormat="false" ht="15" hidden="false" customHeight="false" outlineLevel="0" collapsed="false">
      <c r="D443" s="12" t="n">
        <v>440</v>
      </c>
      <c r="E443" s="13"/>
      <c r="F443" s="14" t="str">
        <f aca="false">IF(E443="","",$B$7*(E443-$B$3)^2)</f>
        <v/>
      </c>
    </row>
    <row r="444" customFormat="false" ht="15" hidden="false" customHeight="false" outlineLevel="0" collapsed="false">
      <c r="D444" s="12" t="n">
        <v>441</v>
      </c>
      <c r="E444" s="13"/>
      <c r="F444" s="14" t="str">
        <f aca="false">IF(E444="","",$B$7*(E444-$B$3)^2)</f>
        <v/>
      </c>
    </row>
    <row r="445" customFormat="false" ht="15" hidden="false" customHeight="false" outlineLevel="0" collapsed="false">
      <c r="D445" s="12" t="n">
        <v>442</v>
      </c>
      <c r="E445" s="13"/>
      <c r="F445" s="14" t="str">
        <f aca="false">IF(E445="","",$B$7*(E445-$B$3)^2)</f>
        <v/>
      </c>
    </row>
    <row r="446" customFormat="false" ht="15" hidden="false" customHeight="false" outlineLevel="0" collapsed="false">
      <c r="D446" s="12" t="n">
        <v>443</v>
      </c>
      <c r="E446" s="13"/>
      <c r="F446" s="14" t="str">
        <f aca="false">IF(E446="","",$B$7*(E446-$B$3)^2)</f>
        <v/>
      </c>
    </row>
    <row r="447" customFormat="false" ht="15" hidden="false" customHeight="false" outlineLevel="0" collapsed="false">
      <c r="D447" s="12" t="n">
        <v>444</v>
      </c>
      <c r="E447" s="13"/>
      <c r="F447" s="14" t="str">
        <f aca="false">IF(E447="","",$B$7*(E447-$B$3)^2)</f>
        <v/>
      </c>
    </row>
    <row r="448" customFormat="false" ht="15" hidden="false" customHeight="false" outlineLevel="0" collapsed="false">
      <c r="D448" s="12" t="n">
        <v>445</v>
      </c>
      <c r="E448" s="13"/>
      <c r="F448" s="14" t="str">
        <f aca="false">IF(E448="","",$B$7*(E448-$B$3)^2)</f>
        <v/>
      </c>
    </row>
    <row r="449" customFormat="false" ht="15" hidden="false" customHeight="false" outlineLevel="0" collapsed="false">
      <c r="D449" s="12" t="n">
        <v>446</v>
      </c>
      <c r="E449" s="13"/>
      <c r="F449" s="14" t="str">
        <f aca="false">IF(E449="","",$B$7*(E449-$B$3)^2)</f>
        <v/>
      </c>
    </row>
    <row r="450" customFormat="false" ht="15" hidden="false" customHeight="false" outlineLevel="0" collapsed="false">
      <c r="D450" s="12" t="n">
        <v>447</v>
      </c>
      <c r="E450" s="13"/>
      <c r="F450" s="14" t="str">
        <f aca="false">IF(E450="","",$B$7*(E450-$B$3)^2)</f>
        <v/>
      </c>
    </row>
    <row r="451" customFormat="false" ht="15" hidden="false" customHeight="false" outlineLevel="0" collapsed="false">
      <c r="D451" s="12" t="n">
        <v>448</v>
      </c>
      <c r="E451" s="13"/>
      <c r="F451" s="14" t="str">
        <f aca="false">IF(E451="","",$B$7*(E451-$B$3)^2)</f>
        <v/>
      </c>
    </row>
    <row r="452" customFormat="false" ht="15" hidden="false" customHeight="false" outlineLevel="0" collapsed="false">
      <c r="D452" s="12" t="n">
        <v>449</v>
      </c>
      <c r="E452" s="13"/>
      <c r="F452" s="14" t="str">
        <f aca="false">IF(E452="","",$B$7*(E452-$B$3)^2)</f>
        <v/>
      </c>
    </row>
    <row r="453" customFormat="false" ht="15" hidden="false" customHeight="false" outlineLevel="0" collapsed="false">
      <c r="D453" s="12" t="n">
        <v>450</v>
      </c>
      <c r="E453" s="13"/>
      <c r="F453" s="14" t="str">
        <f aca="false">IF(E453="","",$B$7*(E453-$B$3)^2)</f>
        <v/>
      </c>
    </row>
    <row r="454" customFormat="false" ht="15" hidden="false" customHeight="false" outlineLevel="0" collapsed="false">
      <c r="D454" s="12" t="n">
        <v>451</v>
      </c>
      <c r="E454" s="13"/>
      <c r="F454" s="14" t="str">
        <f aca="false">IF(E454="","",$B$7*(E454-$B$3)^2)</f>
        <v/>
      </c>
    </row>
    <row r="455" customFormat="false" ht="15" hidden="false" customHeight="false" outlineLevel="0" collapsed="false">
      <c r="D455" s="12" t="n">
        <v>452</v>
      </c>
      <c r="E455" s="13"/>
      <c r="F455" s="14" t="str">
        <f aca="false">IF(E455="","",$B$7*(E455-$B$3)^2)</f>
        <v/>
      </c>
    </row>
    <row r="456" customFormat="false" ht="15" hidden="false" customHeight="false" outlineLevel="0" collapsed="false">
      <c r="D456" s="12" t="n">
        <v>453</v>
      </c>
      <c r="E456" s="13"/>
      <c r="F456" s="14" t="str">
        <f aca="false">IF(E456="","",$B$7*(E456-$B$3)^2)</f>
        <v/>
      </c>
    </row>
    <row r="457" customFormat="false" ht="15" hidden="false" customHeight="false" outlineLevel="0" collapsed="false">
      <c r="D457" s="12" t="n">
        <v>454</v>
      </c>
      <c r="E457" s="13"/>
      <c r="F457" s="14" t="str">
        <f aca="false">IF(E457="","",$B$7*(E457-$B$3)^2)</f>
        <v/>
      </c>
    </row>
    <row r="458" customFormat="false" ht="15" hidden="false" customHeight="false" outlineLevel="0" collapsed="false">
      <c r="D458" s="12" t="n">
        <v>455</v>
      </c>
      <c r="E458" s="13"/>
      <c r="F458" s="14" t="str">
        <f aca="false">IF(E458="","",$B$7*(E458-$B$3)^2)</f>
        <v/>
      </c>
    </row>
    <row r="459" customFormat="false" ht="15" hidden="false" customHeight="false" outlineLevel="0" collapsed="false">
      <c r="D459" s="12" t="n">
        <v>456</v>
      </c>
      <c r="E459" s="13"/>
      <c r="F459" s="14" t="str">
        <f aca="false">IF(E459="","",$B$7*(E459-$B$3)^2)</f>
        <v/>
      </c>
    </row>
    <row r="460" customFormat="false" ht="15" hidden="false" customHeight="false" outlineLevel="0" collapsed="false">
      <c r="D460" s="12" t="n">
        <v>457</v>
      </c>
      <c r="E460" s="13"/>
      <c r="F460" s="14" t="str">
        <f aca="false">IF(E460="","",$B$7*(E460-$B$3)^2)</f>
        <v/>
      </c>
    </row>
    <row r="461" customFormat="false" ht="15" hidden="false" customHeight="false" outlineLevel="0" collapsed="false">
      <c r="D461" s="12" t="n">
        <v>458</v>
      </c>
      <c r="E461" s="13"/>
      <c r="F461" s="14" t="str">
        <f aca="false">IF(E461="","",$B$7*(E461-$B$3)^2)</f>
        <v/>
      </c>
    </row>
    <row r="462" customFormat="false" ht="15" hidden="false" customHeight="false" outlineLevel="0" collapsed="false">
      <c r="D462" s="12" t="n">
        <v>459</v>
      </c>
      <c r="E462" s="13"/>
      <c r="F462" s="14" t="str">
        <f aca="false">IF(E462="","",$B$7*(E462-$B$3)^2)</f>
        <v/>
      </c>
    </row>
    <row r="463" customFormat="false" ht="15" hidden="false" customHeight="false" outlineLevel="0" collapsed="false">
      <c r="D463" s="12" t="n">
        <v>460</v>
      </c>
      <c r="E463" s="13"/>
      <c r="F463" s="14" t="str">
        <f aca="false">IF(E463="","",$B$7*(E463-$B$3)^2)</f>
        <v/>
      </c>
    </row>
    <row r="464" customFormat="false" ht="15" hidden="false" customHeight="false" outlineLevel="0" collapsed="false">
      <c r="D464" s="12" t="n">
        <v>461</v>
      </c>
      <c r="E464" s="13"/>
      <c r="F464" s="14" t="str">
        <f aca="false">IF(E464="","",$B$7*(E464-$B$3)^2)</f>
        <v/>
      </c>
    </row>
    <row r="465" customFormat="false" ht="15" hidden="false" customHeight="false" outlineLevel="0" collapsed="false">
      <c r="D465" s="12" t="n">
        <v>462</v>
      </c>
      <c r="E465" s="13"/>
      <c r="F465" s="14" t="str">
        <f aca="false">IF(E465="","",$B$7*(E465-$B$3)^2)</f>
        <v/>
      </c>
    </row>
    <row r="466" customFormat="false" ht="15" hidden="false" customHeight="false" outlineLevel="0" collapsed="false">
      <c r="D466" s="12" t="n">
        <v>463</v>
      </c>
      <c r="E466" s="13"/>
      <c r="F466" s="14" t="str">
        <f aca="false">IF(E466="","",$B$7*(E466-$B$3)^2)</f>
        <v/>
      </c>
    </row>
    <row r="467" customFormat="false" ht="15" hidden="false" customHeight="false" outlineLevel="0" collapsed="false">
      <c r="D467" s="12" t="n">
        <v>464</v>
      </c>
      <c r="E467" s="13"/>
      <c r="F467" s="14" t="str">
        <f aca="false">IF(E467="","",$B$7*(E467-$B$3)^2)</f>
        <v/>
      </c>
    </row>
    <row r="468" customFormat="false" ht="15" hidden="false" customHeight="false" outlineLevel="0" collapsed="false">
      <c r="D468" s="12" t="n">
        <v>465</v>
      </c>
      <c r="E468" s="13"/>
      <c r="F468" s="14" t="str">
        <f aca="false">IF(E468="","",$B$7*(E468-$B$3)^2)</f>
        <v/>
      </c>
    </row>
    <row r="469" customFormat="false" ht="15" hidden="false" customHeight="false" outlineLevel="0" collapsed="false">
      <c r="D469" s="12" t="n">
        <v>466</v>
      </c>
      <c r="E469" s="13"/>
      <c r="F469" s="14" t="str">
        <f aca="false">IF(E469="","",$B$7*(E469-$B$3)^2)</f>
        <v/>
      </c>
    </row>
    <row r="470" customFormat="false" ht="15" hidden="false" customHeight="false" outlineLevel="0" collapsed="false">
      <c r="D470" s="12" t="n">
        <v>467</v>
      </c>
      <c r="E470" s="13"/>
      <c r="F470" s="14" t="str">
        <f aca="false">IF(E470="","",$B$7*(E470-$B$3)^2)</f>
        <v/>
      </c>
    </row>
    <row r="471" customFormat="false" ht="15" hidden="false" customHeight="false" outlineLevel="0" collapsed="false">
      <c r="D471" s="12" t="n">
        <v>468</v>
      </c>
      <c r="E471" s="13"/>
      <c r="F471" s="14" t="str">
        <f aca="false">IF(E471="","",$B$7*(E471-$B$3)^2)</f>
        <v/>
      </c>
    </row>
    <row r="472" customFormat="false" ht="15" hidden="false" customHeight="false" outlineLevel="0" collapsed="false">
      <c r="D472" s="12" t="n">
        <v>469</v>
      </c>
      <c r="E472" s="13"/>
      <c r="F472" s="14" t="str">
        <f aca="false">IF(E472="","",$B$7*(E472-$B$3)^2)</f>
        <v/>
      </c>
    </row>
    <row r="473" customFormat="false" ht="15" hidden="false" customHeight="false" outlineLevel="0" collapsed="false">
      <c r="D473" s="12" t="n">
        <v>470</v>
      </c>
      <c r="E473" s="13"/>
      <c r="F473" s="14" t="str">
        <f aca="false">IF(E473="","",$B$7*(E473-$B$3)^2)</f>
        <v/>
      </c>
    </row>
    <row r="474" customFormat="false" ht="15" hidden="false" customHeight="false" outlineLevel="0" collapsed="false">
      <c r="D474" s="12" t="n">
        <v>471</v>
      </c>
      <c r="E474" s="13"/>
      <c r="F474" s="14" t="str">
        <f aca="false">IF(E474="","",$B$7*(E474-$B$3)^2)</f>
        <v/>
      </c>
    </row>
    <row r="475" customFormat="false" ht="15" hidden="false" customHeight="false" outlineLevel="0" collapsed="false">
      <c r="D475" s="12" t="n">
        <v>472</v>
      </c>
      <c r="E475" s="13"/>
      <c r="F475" s="14" t="str">
        <f aca="false">IF(E475="","",$B$7*(E475-$B$3)^2)</f>
        <v/>
      </c>
    </row>
    <row r="476" customFormat="false" ht="15" hidden="false" customHeight="false" outlineLevel="0" collapsed="false">
      <c r="D476" s="12" t="n">
        <v>473</v>
      </c>
      <c r="E476" s="13"/>
      <c r="F476" s="14" t="str">
        <f aca="false">IF(E476="","",$B$7*(E476-$B$3)^2)</f>
        <v/>
      </c>
    </row>
    <row r="477" customFormat="false" ht="15" hidden="false" customHeight="false" outlineLevel="0" collapsed="false">
      <c r="D477" s="12" t="n">
        <v>474</v>
      </c>
      <c r="E477" s="13"/>
      <c r="F477" s="14" t="str">
        <f aca="false">IF(E477="","",$B$7*(E477-$B$3)^2)</f>
        <v/>
      </c>
    </row>
    <row r="478" customFormat="false" ht="15" hidden="false" customHeight="false" outlineLevel="0" collapsed="false">
      <c r="D478" s="12" t="n">
        <v>475</v>
      </c>
      <c r="E478" s="13"/>
      <c r="F478" s="14" t="str">
        <f aca="false">IF(E478="","",$B$7*(E478-$B$3)^2)</f>
        <v/>
      </c>
    </row>
    <row r="479" customFormat="false" ht="15" hidden="false" customHeight="false" outlineLevel="0" collapsed="false">
      <c r="D479" s="12" t="n">
        <v>476</v>
      </c>
      <c r="E479" s="13"/>
      <c r="F479" s="14" t="str">
        <f aca="false">IF(E479="","",$B$7*(E479-$B$3)^2)</f>
        <v/>
      </c>
    </row>
    <row r="480" customFormat="false" ht="15" hidden="false" customHeight="false" outlineLevel="0" collapsed="false">
      <c r="D480" s="12" t="n">
        <v>477</v>
      </c>
      <c r="E480" s="13"/>
      <c r="F480" s="14" t="str">
        <f aca="false">IF(E480="","",$B$7*(E480-$B$3)^2)</f>
        <v/>
      </c>
    </row>
    <row r="481" customFormat="false" ht="15" hidden="false" customHeight="false" outlineLevel="0" collapsed="false">
      <c r="D481" s="12" t="n">
        <v>478</v>
      </c>
      <c r="E481" s="13"/>
      <c r="F481" s="14" t="str">
        <f aca="false">IF(E481="","",$B$7*(E481-$B$3)^2)</f>
        <v/>
      </c>
    </row>
    <row r="482" customFormat="false" ht="15" hidden="false" customHeight="false" outlineLevel="0" collapsed="false">
      <c r="D482" s="12" t="n">
        <v>479</v>
      </c>
      <c r="E482" s="13"/>
      <c r="F482" s="14" t="str">
        <f aca="false">IF(E482="","",$B$7*(E482-$B$3)^2)</f>
        <v/>
      </c>
    </row>
    <row r="483" customFormat="false" ht="15" hidden="false" customHeight="false" outlineLevel="0" collapsed="false">
      <c r="D483" s="12" t="n">
        <v>480</v>
      </c>
      <c r="E483" s="13"/>
      <c r="F483" s="14" t="str">
        <f aca="false">IF(E483="","",$B$7*(E483-$B$3)^2)</f>
        <v/>
      </c>
    </row>
    <row r="484" customFormat="false" ht="15" hidden="false" customHeight="false" outlineLevel="0" collapsed="false">
      <c r="D484" s="12" t="n">
        <v>481</v>
      </c>
      <c r="E484" s="13"/>
      <c r="F484" s="14" t="str">
        <f aca="false">IF(E484="","",$B$7*(E484-$B$3)^2)</f>
        <v/>
      </c>
    </row>
    <row r="485" customFormat="false" ht="15" hidden="false" customHeight="false" outlineLevel="0" collapsed="false">
      <c r="D485" s="12" t="n">
        <v>482</v>
      </c>
      <c r="E485" s="13"/>
      <c r="F485" s="14" t="str">
        <f aca="false">IF(E485="","",$B$7*(E485-$B$3)^2)</f>
        <v/>
      </c>
    </row>
    <row r="486" customFormat="false" ht="15" hidden="false" customHeight="false" outlineLevel="0" collapsed="false">
      <c r="D486" s="12" t="n">
        <v>483</v>
      </c>
      <c r="E486" s="13"/>
      <c r="F486" s="14" t="str">
        <f aca="false">IF(E486="","",$B$7*(E486-$B$3)^2)</f>
        <v/>
      </c>
    </row>
    <row r="487" customFormat="false" ht="15" hidden="false" customHeight="false" outlineLevel="0" collapsed="false">
      <c r="D487" s="12" t="n">
        <v>484</v>
      </c>
      <c r="E487" s="13"/>
      <c r="F487" s="14" t="str">
        <f aca="false">IF(E487="","",$B$7*(E487-$B$3)^2)</f>
        <v/>
      </c>
    </row>
    <row r="488" customFormat="false" ht="15" hidden="false" customHeight="false" outlineLevel="0" collapsed="false">
      <c r="D488" s="12" t="n">
        <v>485</v>
      </c>
      <c r="E488" s="13"/>
      <c r="F488" s="14" t="str">
        <f aca="false">IF(E488="","",$B$7*(E488-$B$3)^2)</f>
        <v/>
      </c>
    </row>
    <row r="489" customFormat="false" ht="15" hidden="false" customHeight="false" outlineLevel="0" collapsed="false">
      <c r="D489" s="12" t="n">
        <v>486</v>
      </c>
      <c r="E489" s="13"/>
      <c r="F489" s="14" t="str">
        <f aca="false">IF(E489="","",$B$7*(E489-$B$3)^2)</f>
        <v/>
      </c>
    </row>
    <row r="490" customFormat="false" ht="15" hidden="false" customHeight="false" outlineLevel="0" collapsed="false">
      <c r="D490" s="12" t="n">
        <v>487</v>
      </c>
      <c r="E490" s="13"/>
      <c r="F490" s="14" t="str">
        <f aca="false">IF(E490="","",$B$7*(E490-$B$3)^2)</f>
        <v/>
      </c>
    </row>
    <row r="491" customFormat="false" ht="15" hidden="false" customHeight="false" outlineLevel="0" collapsed="false">
      <c r="D491" s="12" t="n">
        <v>488</v>
      </c>
      <c r="E491" s="13"/>
      <c r="F491" s="14" t="str">
        <f aca="false">IF(E491="","",$B$7*(E491-$B$3)^2)</f>
        <v/>
      </c>
    </row>
    <row r="492" customFormat="false" ht="15" hidden="false" customHeight="false" outlineLevel="0" collapsed="false">
      <c r="D492" s="12" t="n">
        <v>489</v>
      </c>
      <c r="E492" s="13"/>
      <c r="F492" s="14" t="str">
        <f aca="false">IF(E492="","",$B$7*(E492-$B$3)^2)</f>
        <v/>
      </c>
    </row>
    <row r="493" customFormat="false" ht="15" hidden="false" customHeight="false" outlineLevel="0" collapsed="false">
      <c r="D493" s="12" t="n">
        <v>490</v>
      </c>
      <c r="E493" s="13"/>
      <c r="F493" s="14" t="str">
        <f aca="false">IF(E493="","",$B$7*(E493-$B$3)^2)</f>
        <v/>
      </c>
    </row>
    <row r="494" customFormat="false" ht="15" hidden="false" customHeight="false" outlineLevel="0" collapsed="false">
      <c r="D494" s="12" t="n">
        <v>491</v>
      </c>
      <c r="E494" s="13"/>
      <c r="F494" s="14" t="str">
        <f aca="false">IF(E494="","",$B$7*(E494-$B$3)^2)</f>
        <v/>
      </c>
    </row>
    <row r="495" customFormat="false" ht="15" hidden="false" customHeight="false" outlineLevel="0" collapsed="false">
      <c r="D495" s="12" t="n">
        <v>492</v>
      </c>
      <c r="E495" s="13"/>
      <c r="F495" s="14" t="str">
        <f aca="false">IF(E495="","",$B$7*(E495-$B$3)^2)</f>
        <v/>
      </c>
    </row>
    <row r="496" customFormat="false" ht="15" hidden="false" customHeight="false" outlineLevel="0" collapsed="false">
      <c r="D496" s="12" t="n">
        <v>493</v>
      </c>
      <c r="E496" s="13"/>
      <c r="F496" s="14" t="str">
        <f aca="false">IF(E496="","",$B$7*(E496-$B$3)^2)</f>
        <v/>
      </c>
    </row>
    <row r="497" customFormat="false" ht="15" hidden="false" customHeight="false" outlineLevel="0" collapsed="false">
      <c r="D497" s="12" t="n">
        <v>494</v>
      </c>
      <c r="E497" s="13"/>
      <c r="F497" s="14" t="str">
        <f aca="false">IF(E497="","",$B$7*(E497-$B$3)^2)</f>
        <v/>
      </c>
    </row>
    <row r="498" customFormat="false" ht="15" hidden="false" customHeight="false" outlineLevel="0" collapsed="false">
      <c r="D498" s="12" t="n">
        <v>495</v>
      </c>
      <c r="E498" s="13"/>
      <c r="F498" s="14" t="str">
        <f aca="false">IF(E498="","",$B$7*(E498-$B$3)^2)</f>
        <v/>
      </c>
    </row>
    <row r="499" customFormat="false" ht="15" hidden="false" customHeight="false" outlineLevel="0" collapsed="false">
      <c r="D499" s="12" t="n">
        <v>496</v>
      </c>
      <c r="E499" s="13"/>
      <c r="F499" s="14" t="str">
        <f aca="false">IF(E499="","",$B$7*(E499-$B$3)^2)</f>
        <v/>
      </c>
    </row>
    <row r="500" customFormat="false" ht="15" hidden="false" customHeight="false" outlineLevel="0" collapsed="false">
      <c r="D500" s="12" t="n">
        <v>497</v>
      </c>
      <c r="E500" s="13"/>
      <c r="F500" s="14" t="str">
        <f aca="false">IF(E500="","",$B$7*(E500-$B$3)^2)</f>
        <v/>
      </c>
    </row>
    <row r="501" customFormat="false" ht="15" hidden="false" customHeight="false" outlineLevel="0" collapsed="false">
      <c r="D501" s="12" t="n">
        <v>498</v>
      </c>
      <c r="E501" s="13"/>
      <c r="F501" s="14" t="str">
        <f aca="false">IF(E501="","",$B$7*(E501-$B$3)^2)</f>
        <v/>
      </c>
    </row>
    <row r="502" customFormat="false" ht="15" hidden="false" customHeight="false" outlineLevel="0" collapsed="false">
      <c r="D502" s="12" t="n">
        <v>499</v>
      </c>
      <c r="E502" s="13"/>
      <c r="F502" s="14" t="str">
        <f aca="false">IF(E502="","",$B$7*(E502-$B$3)^2)</f>
        <v/>
      </c>
    </row>
    <row r="503" customFormat="false" ht="15" hidden="false" customHeight="false" outlineLevel="0" collapsed="false">
      <c r="D503" s="12" t="n">
        <v>500</v>
      </c>
      <c r="E503" s="13"/>
      <c r="F503" s="14" t="str">
        <f aca="false">IF(E503="","",$B$7*(E503-$B$3)^2)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3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64</v>
      </c>
    </row>
    <row r="2" customFormat="false" ht="15" hidden="false" customHeight="false" outlineLevel="0" collapsed="false">
      <c r="E2" s="2" t="s">
        <v>34</v>
      </c>
      <c r="H2" s="2" t="s">
        <v>35</v>
      </c>
    </row>
    <row r="3" customFormat="false" ht="30" hidden="false" customHeight="true" outlineLevel="0" collapsed="false">
      <c r="A3" s="8" t="s">
        <v>65</v>
      </c>
      <c r="B3" s="9" t="n">
        <v>80</v>
      </c>
      <c r="D3" s="10" t="s">
        <v>37</v>
      </c>
      <c r="E3" s="10" t="s">
        <v>66</v>
      </c>
      <c r="F3" s="10" t="s">
        <v>39</v>
      </c>
      <c r="H3" s="11" t="s">
        <v>40</v>
      </c>
      <c r="I3" s="11" t="s">
        <v>41</v>
      </c>
      <c r="J3" s="11" t="s">
        <v>21</v>
      </c>
    </row>
    <row r="4" customFormat="false" ht="15" hidden="false" customHeight="false" outlineLevel="0" collapsed="false">
      <c r="A4" s="2" t="s">
        <v>67</v>
      </c>
      <c r="B4" s="18"/>
      <c r="D4" s="12" t="n">
        <v>1</v>
      </c>
      <c r="E4" s="13" t="n">
        <v>81.5</v>
      </c>
      <c r="F4" s="14" t="n">
        <f aca="false">IF(E4="","",IF(E4&gt;0,$B$7/E4^2,"invalid"))</f>
        <v>385.411569874666</v>
      </c>
      <c r="H4" s="15" t="n">
        <f aca="false">0.5*$B$3+0*0.05*$B$3</f>
        <v>40</v>
      </c>
      <c r="I4" s="16" t="n">
        <f aca="false">IF(H4&gt;0,$B$7/H4^2,"invalid")</f>
        <v>1600</v>
      </c>
      <c r="J4" s="16" t="n">
        <f aca="false">$B$5</f>
        <v>400</v>
      </c>
    </row>
    <row r="5" customFormat="false" ht="15" hidden="false" customHeight="false" outlineLevel="0" collapsed="false">
      <c r="A5" s="8" t="s">
        <v>68</v>
      </c>
      <c r="B5" s="17" t="n">
        <v>400</v>
      </c>
      <c r="D5" s="12" t="n">
        <v>2</v>
      </c>
      <c r="E5" s="13" t="n">
        <v>104.2</v>
      </c>
      <c r="F5" s="14" t="n">
        <f aca="false">IF(E5="","",IF(E5&gt;0,$B$7/E5^2,"invalid"))</f>
        <v>235.778677502662</v>
      </c>
      <c r="H5" s="15" t="n">
        <f aca="false">0.5*$B$3+1*0.05*$B$3</f>
        <v>44</v>
      </c>
      <c r="I5" s="16" t="n">
        <f aca="false">IF(H5&gt;0,$B$7/H5^2,"invalid")</f>
        <v>1322.31404958678</v>
      </c>
      <c r="J5" s="16" t="n">
        <f aca="false">$B$5</f>
        <v>400</v>
      </c>
    </row>
    <row r="6" customFormat="false" ht="15" hidden="false" customHeight="false" outlineLevel="0" collapsed="false">
      <c r="B6" s="18"/>
      <c r="D6" s="12" t="n">
        <v>3</v>
      </c>
      <c r="E6" s="13" t="n">
        <v>99.5</v>
      </c>
      <c r="F6" s="14" t="n">
        <f aca="false">IF(E6="","",IF(E6&gt;0,$B$7/E6^2,"invalid"))</f>
        <v>258.579328804828</v>
      </c>
      <c r="H6" s="15" t="n">
        <f aca="false">0.5*$B$3+2*0.05*$B$3</f>
        <v>48</v>
      </c>
      <c r="I6" s="16" t="n">
        <f aca="false">IF(H6&gt;0,$B$7/H6^2,"invalid")</f>
        <v>1111.11111111111</v>
      </c>
      <c r="J6" s="16" t="n">
        <f aca="false">$B$5</f>
        <v>400</v>
      </c>
    </row>
    <row r="7" customFormat="false" ht="15" hidden="false" customHeight="false" outlineLevel="0" collapsed="false">
      <c r="A7" s="19" t="s">
        <v>44</v>
      </c>
      <c r="B7" s="32" t="n">
        <f aca="false">$B$5*$B$3^2</f>
        <v>2560000</v>
      </c>
      <c r="D7" s="12" t="n">
        <v>4</v>
      </c>
      <c r="E7" s="13" t="n">
        <v>102.2</v>
      </c>
      <c r="F7" s="14" t="n">
        <f aca="false">IF(E7="","",IF(E7&gt;0,$B$7/E7^2,"invalid"))</f>
        <v>245.097100577893</v>
      </c>
      <c r="H7" s="15" t="n">
        <f aca="false">0.5*$B$3+3*0.05*$B$3</f>
        <v>52</v>
      </c>
      <c r="I7" s="16" t="n">
        <f aca="false">IF(H7&gt;0,$B$7/H7^2,"invalid")</f>
        <v>946.745562130178</v>
      </c>
      <c r="J7" s="16" t="n">
        <f aca="false">$B$5</f>
        <v>400</v>
      </c>
    </row>
    <row r="8" customFormat="false" ht="15" hidden="false" customHeight="false" outlineLevel="0" collapsed="false">
      <c r="B8" s="18"/>
      <c r="D8" s="12" t="n">
        <v>5</v>
      </c>
      <c r="E8" s="13" t="n">
        <v>84</v>
      </c>
      <c r="F8" s="14" t="n">
        <f aca="false">IF(E8="","",IF(E8&gt;0,$B$7/E8^2,"invalid"))</f>
        <v>362.81179138322</v>
      </c>
      <c r="H8" s="15" t="n">
        <f aca="false">0.5*$B$3+4*0.05*$B$3</f>
        <v>56</v>
      </c>
      <c r="I8" s="16" t="n">
        <f aca="false">IF(H8&gt;0,$B$7/H8^2,"invalid")</f>
        <v>816.326530612245</v>
      </c>
      <c r="J8" s="16" t="n">
        <f aca="false">$B$5</f>
        <v>400</v>
      </c>
    </row>
    <row r="9" customFormat="false" ht="15" hidden="false" customHeight="false" outlineLevel="0" collapsed="false">
      <c r="A9" s="8" t="s">
        <v>45</v>
      </c>
      <c r="B9" s="9" t="n">
        <v>85</v>
      </c>
      <c r="D9" s="12" t="n">
        <v>6</v>
      </c>
      <c r="E9" s="13" t="n">
        <v>98.2</v>
      </c>
      <c r="F9" s="14" t="n">
        <f aca="false">IF(E9="","",IF(E9&gt;0,$B$7/E9^2,"invalid"))</f>
        <v>265.470941301886</v>
      </c>
      <c r="H9" s="15" t="n">
        <f aca="false">0.5*$B$3+5*0.05*$B$3</f>
        <v>60</v>
      </c>
      <c r="I9" s="16" t="n">
        <f aca="false">IF(H9&gt;0,$B$7/H9^2,"invalid")</f>
        <v>711.111111111111</v>
      </c>
      <c r="J9" s="16" t="n">
        <f aca="false">$B$5</f>
        <v>400</v>
      </c>
    </row>
    <row r="10" customFormat="false" ht="15" hidden="false" customHeight="false" outlineLevel="0" collapsed="false">
      <c r="A10" s="19" t="s">
        <v>46</v>
      </c>
      <c r="B10" s="21" t="n">
        <f aca="false">IF(B9="","",IF(B9&gt;0,$B$7/B9^2,"invalid"))</f>
        <v>354.325259515571</v>
      </c>
      <c r="D10" s="12" t="n">
        <v>7</v>
      </c>
      <c r="E10" s="13" t="n">
        <v>87.3</v>
      </c>
      <c r="F10" s="14" t="n">
        <f aca="false">IF(E10="","",IF(E10&gt;0,$B$7/E10^2,"invalid"))</f>
        <v>335.901140095706</v>
      </c>
      <c r="H10" s="15" t="n">
        <f aca="false">0.5*$B$3+6*0.05*$B$3</f>
        <v>64</v>
      </c>
      <c r="I10" s="16" t="n">
        <f aca="false">IF(H10&gt;0,$B$7/H10^2,"invalid")</f>
        <v>625</v>
      </c>
      <c r="J10" s="16" t="n">
        <f aca="false">$B$5</f>
        <v>400</v>
      </c>
    </row>
    <row r="11" customFormat="false" ht="15" hidden="false" customHeight="false" outlineLevel="0" collapsed="false">
      <c r="A11" s="8" t="s">
        <v>47</v>
      </c>
      <c r="B11" s="22" t="n">
        <f aca="false">IF(OR(B10="",ISTEXT(B10)),"",B10/$B$5)</f>
        <v>0.885813148788927</v>
      </c>
      <c r="D11" s="12" t="n">
        <v>8</v>
      </c>
      <c r="E11" s="13" t="n">
        <v>87.9</v>
      </c>
      <c r="F11" s="14" t="n">
        <f aca="false">IF(E11="","",IF(E11&gt;0,$B$7/E11^2,"invalid"))</f>
        <v>331.331109790964</v>
      </c>
      <c r="H11" s="15" t="n">
        <f aca="false">0.5*$B$3+7*0.05*$B$3</f>
        <v>68</v>
      </c>
      <c r="I11" s="16" t="n">
        <f aca="false">IF(H11&gt;0,$B$7/H11^2,"invalid")</f>
        <v>553.63321799308</v>
      </c>
      <c r="J11" s="16" t="n">
        <f aca="false">$B$5</f>
        <v>400</v>
      </c>
    </row>
    <row r="12" customFormat="false" ht="15" hidden="false" customHeight="false" outlineLevel="0" collapsed="false">
      <c r="A12" s="8" t="s">
        <v>48</v>
      </c>
      <c r="B12" s="18" t="str">
        <f aca="false">IF(B9="","",IF(B9&lt;=0,"INVALID - y must be &gt; 0",IF(B10&gt;$B$5,"CRITICAL - below reference",IF(B10&gt;0.5*$B$5,"CAUTION - loss &gt; 50% of A0","GOOD"))))</f>
        <v>CAUTION - loss &gt; 50% of A0</v>
      </c>
      <c r="D12" s="12" t="n">
        <v>9</v>
      </c>
      <c r="E12" s="13" t="n">
        <v>96.6</v>
      </c>
      <c r="F12" s="14" t="n">
        <f aca="false">IF(E12="","",IF(E12&gt;0,$B$7/E12^2,"invalid"))</f>
        <v>274.337838475025</v>
      </c>
      <c r="H12" s="15" t="n">
        <f aca="false">0.5*$B$3+8*0.05*$B$3</f>
        <v>72</v>
      </c>
      <c r="I12" s="16" t="n">
        <f aca="false">IF(H12&gt;0,$B$7/H12^2,"invalid")</f>
        <v>493.827160493827</v>
      </c>
      <c r="J12" s="16" t="n">
        <f aca="false">$B$5</f>
        <v>400</v>
      </c>
    </row>
    <row r="13" customFormat="false" ht="15" hidden="false" customHeight="false" outlineLevel="0" collapsed="false">
      <c r="B13" s="18"/>
      <c r="D13" s="12" t="n">
        <v>10</v>
      </c>
      <c r="E13" s="13" t="n">
        <v>99.9</v>
      </c>
      <c r="F13" s="14" t="n">
        <f aca="false">IF(E13="","",IF(E13&gt;0,$B$7/E13^2,"invalid"))</f>
        <v>256.512769025282</v>
      </c>
      <c r="H13" s="15" t="n">
        <f aca="false">0.5*$B$3+9*0.05*$B$3</f>
        <v>76</v>
      </c>
      <c r="I13" s="16" t="n">
        <f aca="false">IF(H13&gt;0,$B$7/H13^2,"invalid")</f>
        <v>443.213296398892</v>
      </c>
      <c r="J13" s="16" t="n">
        <f aca="false">$B$5</f>
        <v>400</v>
      </c>
    </row>
    <row r="14" customFormat="false" ht="15" hidden="false" customHeight="false" outlineLevel="0" collapsed="false">
      <c r="A14" s="23" t="s">
        <v>49</v>
      </c>
      <c r="B14" s="18"/>
      <c r="D14" s="12" t="n">
        <v>11</v>
      </c>
      <c r="E14" s="13" t="n">
        <v>93.8</v>
      </c>
      <c r="F14" s="14" t="n">
        <f aca="false">IF(E14="","",IF(E14&gt;0,$B$7/E14^2,"invalid"))</f>
        <v>290.960670300644</v>
      </c>
      <c r="H14" s="15" t="n">
        <f aca="false">0.5*$B$3+10*0.05*$B$3</f>
        <v>80</v>
      </c>
      <c r="I14" s="16" t="n">
        <f aca="false">IF(H14&gt;0,$B$7/H14^2,"invalid")</f>
        <v>400</v>
      </c>
      <c r="J14" s="16" t="n">
        <f aca="false">$B$5</f>
        <v>400</v>
      </c>
    </row>
    <row r="15" customFormat="false" ht="15" hidden="false" customHeight="false" outlineLevel="0" collapsed="false">
      <c r="A15" s="8" t="s">
        <v>50</v>
      </c>
      <c r="B15" s="24" t="n">
        <f aca="false">COUNT($E$4:$E$503)</f>
        <v>30</v>
      </c>
      <c r="D15" s="12" t="n">
        <v>12</v>
      </c>
      <c r="E15" s="13" t="n">
        <v>86.3</v>
      </c>
      <c r="F15" s="14" t="n">
        <f aca="false">IF(E15="","",IF(E15&gt;0,$B$7/E15^2,"invalid"))</f>
        <v>343.730740672611</v>
      </c>
      <c r="H15" s="15" t="n">
        <f aca="false">0.5*$B$3+11*0.05*$B$3</f>
        <v>84</v>
      </c>
      <c r="I15" s="16" t="n">
        <f aca="false">IF(H15&gt;0,$B$7/H15^2,"invalid")</f>
        <v>362.81179138322</v>
      </c>
      <c r="J15" s="16" t="n">
        <f aca="false">$B$5</f>
        <v>400</v>
      </c>
    </row>
    <row r="16" customFormat="false" ht="15" hidden="false" customHeight="false" outlineLevel="0" collapsed="false">
      <c r="A16" s="8" t="s">
        <v>51</v>
      </c>
      <c r="B16" s="25" t="n">
        <f aca="false">IF(B15=0,"",AVERAGE($E$4:$E$503))</f>
        <v>96.2</v>
      </c>
      <c r="D16" s="12" t="n">
        <v>13</v>
      </c>
      <c r="E16" s="13" t="n">
        <v>84.6</v>
      </c>
      <c r="F16" s="14" t="n">
        <f aca="false">IF(E16="","",IF(E16&gt;0,$B$7/E16^2,"invalid"))</f>
        <v>357.683774010921</v>
      </c>
      <c r="H16" s="15" t="n">
        <f aca="false">0.5*$B$3+12*0.05*$B$3</f>
        <v>88</v>
      </c>
      <c r="I16" s="16" t="n">
        <f aca="false">IF(H16&gt;0,$B$7/H16^2,"invalid")</f>
        <v>330.578512396694</v>
      </c>
      <c r="J16" s="16" t="n">
        <f aca="false">$B$5</f>
        <v>400</v>
      </c>
    </row>
    <row r="17" customFormat="false" ht="15" hidden="false" customHeight="false" outlineLevel="0" collapsed="false">
      <c r="A17" s="8" t="s">
        <v>52</v>
      </c>
      <c r="B17" s="25" t="n">
        <f aca="false">IF(B15&lt;2,"",STDEV($E$4:$E$503))</f>
        <v>9.81887696366475</v>
      </c>
      <c r="D17" s="12" t="n">
        <v>14</v>
      </c>
      <c r="E17" s="13" t="n">
        <v>105</v>
      </c>
      <c r="F17" s="14" t="n">
        <f aca="false">IF(E17="","",IF(E17&gt;0,$B$7/E17^2,"invalid"))</f>
        <v>232.199546485261</v>
      </c>
      <c r="H17" s="15" t="n">
        <f aca="false">0.5*$B$3+13*0.05*$B$3</f>
        <v>92</v>
      </c>
      <c r="I17" s="16" t="n">
        <f aca="false">IF(H17&gt;0,$B$7/H17^2,"invalid")</f>
        <v>302.457466918715</v>
      </c>
      <c r="J17" s="16" t="n">
        <f aca="false">$B$5</f>
        <v>400</v>
      </c>
    </row>
    <row r="18" customFormat="false" ht="15" hidden="false" customHeight="false" outlineLevel="0" collapsed="false">
      <c r="A18" s="8" t="s">
        <v>53</v>
      </c>
      <c r="B18" s="25" t="n">
        <f aca="false">IF(B15=0,"",MIN($E$4:$E$503))</f>
        <v>81.5</v>
      </c>
      <c r="D18" s="12" t="n">
        <v>15</v>
      </c>
      <c r="E18" s="13" t="n">
        <v>97.3</v>
      </c>
      <c r="F18" s="14" t="n">
        <f aca="false">IF(E18="","",IF(E18&gt;0,$B$7/E18^2,"invalid"))</f>
        <v>270.404730392752</v>
      </c>
      <c r="H18" s="15" t="n">
        <f aca="false">0.5*$B$3+14*0.05*$B$3</f>
        <v>96</v>
      </c>
      <c r="I18" s="16" t="n">
        <f aca="false">IF(H18&gt;0,$B$7/H18^2,"invalid")</f>
        <v>277.777777777778</v>
      </c>
      <c r="J18" s="16" t="n">
        <f aca="false">$B$5</f>
        <v>400</v>
      </c>
    </row>
    <row r="19" customFormat="false" ht="15" hidden="false" customHeight="false" outlineLevel="0" collapsed="false">
      <c r="A19" s="8" t="s">
        <v>54</v>
      </c>
      <c r="B19" s="25" t="n">
        <f aca="false">IF(B15=0,"",MAX($E$4:$E$503))</f>
        <v>120.4</v>
      </c>
      <c r="D19" s="12" t="n">
        <v>16</v>
      </c>
      <c r="E19" s="13" t="n">
        <v>98.5</v>
      </c>
      <c r="F19" s="14" t="n">
        <f aca="false">IF(E19="","",IF(E19&gt;0,$B$7/E19^2,"invalid"))</f>
        <v>263.856321987168</v>
      </c>
      <c r="H19" s="15" t="n">
        <f aca="false">0.5*$B$3+15*0.05*$B$3</f>
        <v>100</v>
      </c>
      <c r="I19" s="16" t="n">
        <f aca="false">IF(H19&gt;0,$B$7/H19^2,"invalid")</f>
        <v>256</v>
      </c>
      <c r="J19" s="16" t="n">
        <f aca="false">$B$5</f>
        <v>400</v>
      </c>
    </row>
    <row r="20" customFormat="false" ht="15" hidden="false" customHeight="false" outlineLevel="0" collapsed="false">
      <c r="A20" s="19" t="s">
        <v>55</v>
      </c>
      <c r="B20" s="21" t="n">
        <f aca="false">IF(B15=0,"",AVERAGE($F$4:$F$503))</f>
        <v>284.706314580834</v>
      </c>
      <c r="D20" s="12" t="n">
        <v>17</v>
      </c>
      <c r="E20" s="13" t="n">
        <v>111.7</v>
      </c>
      <c r="F20" s="14" t="n">
        <f aca="false">IF(E20="","",IF(E20&gt;0,$B$7/E20^2,"invalid"))</f>
        <v>205.179335555575</v>
      </c>
      <c r="H20" s="15" t="n">
        <f aca="false">0.5*$B$3+16*0.05*$B$3</f>
        <v>104</v>
      </c>
      <c r="I20" s="16" t="n">
        <f aca="false">IF(H20&gt;0,$B$7/H20^2,"invalid")</f>
        <v>236.686390532544</v>
      </c>
      <c r="J20" s="16" t="n">
        <f aca="false">$B$5</f>
        <v>400</v>
      </c>
    </row>
    <row r="21" customFormat="false" ht="15" hidden="false" customHeight="false" outlineLevel="0" collapsed="false">
      <c r="A21" s="19" t="s">
        <v>56</v>
      </c>
      <c r="B21" s="26" t="n">
        <f aca="false">IF(B15=0,"",SUM($F$4:$F$503))</f>
        <v>8541.18943742503</v>
      </c>
      <c r="D21" s="12" t="n">
        <v>18</v>
      </c>
      <c r="E21" s="13" t="n">
        <v>84.7</v>
      </c>
      <c r="F21" s="14" t="n">
        <f aca="false">IF(E21="","",IF(E21&gt;0,$B$7/E21^2,"invalid"))</f>
        <v>356.839682802976</v>
      </c>
      <c r="H21" s="15" t="n">
        <f aca="false">0.5*$B$3+17*0.05*$B$3</f>
        <v>108</v>
      </c>
      <c r="I21" s="16" t="n">
        <f aca="false">IF(H21&gt;0,$B$7/H21^2,"invalid")</f>
        <v>219.478737997257</v>
      </c>
      <c r="J21" s="16" t="n">
        <f aca="false">$B$5</f>
        <v>400</v>
      </c>
    </row>
    <row r="22" customFormat="false" ht="15" hidden="false" customHeight="false" outlineLevel="0" collapsed="false">
      <c r="A22" s="8" t="s">
        <v>57</v>
      </c>
      <c r="B22" s="27" t="n">
        <f aca="false">IF(B15=0,"",B20/$B$5)</f>
        <v>0.711765786452086</v>
      </c>
      <c r="D22" s="12" t="n">
        <v>19</v>
      </c>
      <c r="E22" s="13" t="n">
        <v>115</v>
      </c>
      <c r="F22" s="14" t="n">
        <f aca="false">IF(E22="","",IF(E22&gt;0,$B$7/E22^2,"invalid"))</f>
        <v>193.572778827977</v>
      </c>
      <c r="H22" s="15" t="n">
        <f aca="false">0.5*$B$3+18*0.05*$B$3</f>
        <v>112</v>
      </c>
      <c r="I22" s="16" t="n">
        <f aca="false">IF(H22&gt;0,$B$7/H22^2,"invalid")</f>
        <v>204.081632653061</v>
      </c>
      <c r="J22" s="16" t="n">
        <f aca="false">$B$5</f>
        <v>400</v>
      </c>
    </row>
    <row r="23" customFormat="false" ht="15" hidden="false" customHeight="false" outlineLevel="0" collapsed="false">
      <c r="A23" s="19" t="s">
        <v>62</v>
      </c>
      <c r="B23" s="30" t="str">
        <f aca="false">IF(B15=0,"Enter data in column E",IF(B20&gt;$B$5,"CRITICAL - E[L] &gt; A0",IF(B20&gt;0.5*$B$5,"CAUTION - E[L] &gt; 50% of A0",IF(B16&lt;$B$3,"MEAN BELOW REFERENCE","ACCEPTABLE"))))</f>
        <v>CAUTION - E[L] &gt; 50% of A0</v>
      </c>
      <c r="D23" s="12" t="n">
        <v>20</v>
      </c>
      <c r="E23" s="13" t="n">
        <v>120.4</v>
      </c>
      <c r="F23" s="14" t="n">
        <f aca="false">IF(E23="","",IF(E23&gt;0,$B$7/E23^2,"invalid"))</f>
        <v>176.598492290372</v>
      </c>
      <c r="H23" s="15" t="n">
        <f aca="false">0.5*$B$3+19*0.05*$B$3</f>
        <v>116</v>
      </c>
      <c r="I23" s="16" t="n">
        <f aca="false">IF(H23&gt;0,$B$7/H23^2,"invalid")</f>
        <v>190.249702734839</v>
      </c>
      <c r="J23" s="16" t="n">
        <f aca="false">$B$5</f>
        <v>400</v>
      </c>
    </row>
    <row r="24" customFormat="false" ht="15" hidden="false" customHeight="false" outlineLevel="0" collapsed="false">
      <c r="A24" s="8" t="s">
        <v>63</v>
      </c>
      <c r="B24" s="31" t="n">
        <f aca="false">COUNTIF($E$4:$E$503,"&lt;"&amp;$B$3)</f>
        <v>0</v>
      </c>
      <c r="D24" s="12" t="n">
        <v>21</v>
      </c>
      <c r="E24" s="13" t="n">
        <v>106.6</v>
      </c>
      <c r="F24" s="14" t="n">
        <f aca="false">IF(E24="","",IF(E24&gt;0,$B$7/E24^2,"invalid"))</f>
        <v>225.281513891773</v>
      </c>
      <c r="H24" s="15" t="n">
        <f aca="false">0.5*$B$3+20*0.05*$B$3</f>
        <v>120</v>
      </c>
      <c r="I24" s="16" t="n">
        <f aca="false">IF(H24&gt;0,$B$7/H24^2,"invalid")</f>
        <v>177.777777777778</v>
      </c>
      <c r="J24" s="16" t="n">
        <f aca="false">$B$5</f>
        <v>400</v>
      </c>
    </row>
    <row r="25" customFormat="false" ht="15" hidden="false" customHeight="false" outlineLevel="0" collapsed="false">
      <c r="B25" s="18"/>
      <c r="D25" s="12" t="n">
        <v>22</v>
      </c>
      <c r="E25" s="13" t="n">
        <v>99.4</v>
      </c>
      <c r="F25" s="14" t="n">
        <f aca="false">IF(E25="","",IF(E25&gt;0,$B$7/E25^2,"invalid"))</f>
        <v>259.099870854908</v>
      </c>
      <c r="H25" s="15" t="n">
        <f aca="false">0.5*$B$3+21*0.05*$B$3</f>
        <v>124</v>
      </c>
      <c r="I25" s="16" t="n">
        <f aca="false">IF(H25&gt;0,$B$7/H25^2,"invalid")</f>
        <v>166.493236212279</v>
      </c>
      <c r="J25" s="16" t="n">
        <f aca="false">$B$5</f>
        <v>400</v>
      </c>
    </row>
    <row r="26" customFormat="false" ht="15" hidden="false" customHeight="false" outlineLevel="0" collapsed="false">
      <c r="B26" s="18"/>
      <c r="D26" s="12" t="n">
        <v>23</v>
      </c>
      <c r="E26" s="13" t="n">
        <v>86</v>
      </c>
      <c r="F26" s="14" t="n">
        <f aca="false">IF(E26="","",IF(E26&gt;0,$B$7/E26^2,"invalid"))</f>
        <v>346.133044889129</v>
      </c>
      <c r="H26" s="15" t="n">
        <f aca="false">0.5*$B$3+22*0.05*$B$3</f>
        <v>128</v>
      </c>
      <c r="I26" s="16" t="n">
        <f aca="false">IF(H26&gt;0,$B$7/H26^2,"invalid")</f>
        <v>156.25</v>
      </c>
      <c r="J26" s="16" t="n">
        <f aca="false">$B$5</f>
        <v>400</v>
      </c>
    </row>
    <row r="27" customFormat="false" ht="15" hidden="false" customHeight="false" outlineLevel="0" collapsed="false">
      <c r="B27" s="18"/>
      <c r="D27" s="12" t="n">
        <v>24</v>
      </c>
      <c r="E27" s="13" t="n">
        <v>101</v>
      </c>
      <c r="F27" s="14" t="n">
        <f aca="false">IF(E27="","",IF(E27&gt;0,$B$7/E27^2,"invalid"))</f>
        <v>250.955788648172</v>
      </c>
      <c r="H27" s="15" t="n">
        <f aca="false">0.5*$B$3+23*0.05*$B$3</f>
        <v>132</v>
      </c>
      <c r="I27" s="16" t="n">
        <f aca="false">IF(H27&gt;0,$B$7/H27^2,"invalid")</f>
        <v>146.92378328742</v>
      </c>
      <c r="J27" s="16" t="n">
        <f aca="false">$B$5</f>
        <v>400</v>
      </c>
    </row>
    <row r="28" customFormat="false" ht="15" hidden="false" customHeight="false" outlineLevel="0" collapsed="false">
      <c r="B28" s="18"/>
      <c r="D28" s="12" t="n">
        <v>25</v>
      </c>
      <c r="E28" s="13" t="n">
        <v>88</v>
      </c>
      <c r="F28" s="14" t="n">
        <f aca="false">IF(E28="","",IF(E28&gt;0,$B$7/E28^2,"invalid"))</f>
        <v>330.578512396694</v>
      </c>
      <c r="H28" s="15" t="n">
        <f aca="false">0.5*$B$3+24*0.05*$B$3</f>
        <v>136</v>
      </c>
      <c r="I28" s="16" t="n">
        <f aca="false">IF(H28&gt;0,$B$7/H28^2,"invalid")</f>
        <v>138.40830449827</v>
      </c>
      <c r="J28" s="16" t="n">
        <f aca="false">$B$5</f>
        <v>400</v>
      </c>
    </row>
    <row r="29" customFormat="false" ht="15" hidden="false" customHeight="false" outlineLevel="0" collapsed="false">
      <c r="B29" s="18"/>
      <c r="D29" s="12" t="n">
        <v>26</v>
      </c>
      <c r="E29" s="13" t="n">
        <v>91.8</v>
      </c>
      <c r="F29" s="14" t="n">
        <f aca="false">IF(E29="","",IF(E29&gt;0,$B$7/E29^2,"invalid"))</f>
        <v>303.776799996203</v>
      </c>
      <c r="H29" s="15" t="n">
        <f aca="false">0.5*$B$3+25*0.05*$B$3</f>
        <v>140</v>
      </c>
      <c r="I29" s="16" t="n">
        <f aca="false">IF(H29&gt;0,$B$7/H29^2,"invalid")</f>
        <v>130.612244897959</v>
      </c>
      <c r="J29" s="16" t="n">
        <f aca="false">$B$5</f>
        <v>400</v>
      </c>
    </row>
    <row r="30" customFormat="false" ht="15" hidden="false" customHeight="false" outlineLevel="0" collapsed="false">
      <c r="B30" s="18"/>
      <c r="D30" s="12" t="n">
        <v>27</v>
      </c>
      <c r="E30" s="13" t="n">
        <v>89.4</v>
      </c>
      <c r="F30" s="14" t="n">
        <f aca="false">IF(E30="","",IF(E30&gt;0,$B$7/E30^2,"invalid"))</f>
        <v>320.305892126981</v>
      </c>
      <c r="H30" s="15" t="n">
        <f aca="false">0.5*$B$3+26*0.05*$B$3</f>
        <v>144</v>
      </c>
      <c r="I30" s="16" t="n">
        <f aca="false">IF(H30&gt;0,$B$7/H30^2,"invalid")</f>
        <v>123.456790123457</v>
      </c>
      <c r="J30" s="16" t="n">
        <f aca="false">$B$5</f>
        <v>400</v>
      </c>
    </row>
    <row r="31" customFormat="false" ht="15" hidden="false" customHeight="false" outlineLevel="0" collapsed="false">
      <c r="D31" s="12" t="n">
        <v>28</v>
      </c>
      <c r="E31" s="13" t="n">
        <v>94.6</v>
      </c>
      <c r="F31" s="14" t="n">
        <f aca="false">IF(E31="","",IF(E31&gt;0,$B$7/E31^2,"invalid"))</f>
        <v>286.060367676966</v>
      </c>
      <c r="H31" s="15" t="n">
        <f aca="false">0.5*$B$3+27*0.05*$B$3</f>
        <v>148</v>
      </c>
      <c r="I31" s="16" t="n">
        <f aca="false">IF(H31&gt;0,$B$7/H31^2,"invalid")</f>
        <v>116.873630387144</v>
      </c>
      <c r="J31" s="16" t="n">
        <f aca="false">$B$5</f>
        <v>400</v>
      </c>
    </row>
    <row r="32" customFormat="false" ht="15" hidden="false" customHeight="false" outlineLevel="0" collapsed="false">
      <c r="D32" s="12" t="n">
        <v>29</v>
      </c>
      <c r="E32" s="13" t="n">
        <v>103.6</v>
      </c>
      <c r="F32" s="14" t="n">
        <f aca="false">IF(E32="","",IF(E32&gt;0,$B$7/E32^2,"invalid"))</f>
        <v>238.517613034988</v>
      </c>
      <c r="H32" s="15" t="n">
        <f aca="false">0.5*$B$3+28*0.05*$B$3</f>
        <v>152</v>
      </c>
      <c r="I32" s="16" t="n">
        <f aca="false">IF(H32&gt;0,$B$7/H32^2,"invalid")</f>
        <v>110.803324099723</v>
      </c>
      <c r="J32" s="16" t="n">
        <f aca="false">$B$5</f>
        <v>400</v>
      </c>
    </row>
    <row r="33" customFormat="false" ht="15" hidden="false" customHeight="false" outlineLevel="0" collapsed="false">
      <c r="D33" s="12" t="n">
        <v>30</v>
      </c>
      <c r="E33" s="13" t="n">
        <v>87</v>
      </c>
      <c r="F33" s="14" t="n">
        <f aca="false">IF(E33="","",IF(E33&gt;0,$B$7/E33^2,"invalid"))</f>
        <v>338.221693750826</v>
      </c>
      <c r="H33" s="15" t="n">
        <f aca="false">0.5*$B$3+29*0.05*$B$3</f>
        <v>156</v>
      </c>
      <c r="I33" s="16" t="n">
        <f aca="false">IF(H33&gt;0,$B$7/H33^2,"invalid")</f>
        <v>105.193951347798</v>
      </c>
      <c r="J33" s="16" t="n">
        <f aca="false">$B$5</f>
        <v>400</v>
      </c>
    </row>
    <row r="34" customFormat="false" ht="15" hidden="false" customHeight="false" outlineLevel="0" collapsed="false">
      <c r="D34" s="12" t="n">
        <v>31</v>
      </c>
      <c r="E34" s="13"/>
      <c r="F34" s="14" t="str">
        <f aca="false">IF(E34="","",IF(E34&gt;0,$B$7/E34^2,"invalid"))</f>
        <v/>
      </c>
      <c r="H34" s="15" t="n">
        <f aca="false">0.5*$B$3+30*0.05*$B$3</f>
        <v>160</v>
      </c>
      <c r="I34" s="16" t="n">
        <f aca="false">IF(H34&gt;0,$B$7/H34^2,"invalid")</f>
        <v>100</v>
      </c>
      <c r="J34" s="16" t="n">
        <f aca="false">$B$5</f>
        <v>400</v>
      </c>
    </row>
    <row r="35" customFormat="false" ht="15" hidden="false" customHeight="false" outlineLevel="0" collapsed="false">
      <c r="D35" s="12" t="n">
        <v>32</v>
      </c>
      <c r="E35" s="13"/>
      <c r="F35" s="14" t="str">
        <f aca="false">IF(E35="","",IF(E35&gt;0,$B$7/E35^2,"invalid"))</f>
        <v/>
      </c>
      <c r="H35" s="15" t="n">
        <f aca="false">0.5*$B$3+31*0.05*$B$3</f>
        <v>164</v>
      </c>
      <c r="I35" s="16" t="n">
        <f aca="false">IF(H35&gt;0,$B$7/H35^2,"invalid")</f>
        <v>95.1814396192742</v>
      </c>
      <c r="J35" s="16" t="n">
        <f aca="false">$B$5</f>
        <v>400</v>
      </c>
    </row>
    <row r="36" customFormat="false" ht="15" hidden="false" customHeight="false" outlineLevel="0" collapsed="false">
      <c r="D36" s="12" t="n">
        <v>33</v>
      </c>
      <c r="E36" s="13"/>
      <c r="F36" s="14" t="str">
        <f aca="false">IF(E36="","",IF(E36&gt;0,$B$7/E36^2,"invalid"))</f>
        <v/>
      </c>
      <c r="H36" s="15" t="n">
        <f aca="false">0.5*$B$3+32*0.05*$B$3</f>
        <v>168</v>
      </c>
      <c r="I36" s="16" t="n">
        <f aca="false">IF(H36&gt;0,$B$7/H36^2,"invalid")</f>
        <v>90.702947845805</v>
      </c>
      <c r="J36" s="16" t="n">
        <f aca="false">$B$5</f>
        <v>400</v>
      </c>
    </row>
    <row r="37" customFormat="false" ht="15" hidden="false" customHeight="false" outlineLevel="0" collapsed="false">
      <c r="D37" s="12" t="n">
        <v>34</v>
      </c>
      <c r="E37" s="13"/>
      <c r="F37" s="14" t="str">
        <f aca="false">IF(E37="","",IF(E37&gt;0,$B$7/E37^2,"invalid"))</f>
        <v/>
      </c>
      <c r="H37" s="15" t="n">
        <f aca="false">0.5*$B$3+33*0.05*$B$3</f>
        <v>172</v>
      </c>
      <c r="I37" s="16" t="n">
        <f aca="false">IF(H37&gt;0,$B$7/H37^2,"invalid")</f>
        <v>86.5332612222823</v>
      </c>
      <c r="J37" s="16" t="n">
        <f aca="false">$B$5</f>
        <v>400</v>
      </c>
    </row>
    <row r="38" customFormat="false" ht="15" hidden="false" customHeight="false" outlineLevel="0" collapsed="false">
      <c r="D38" s="12" t="n">
        <v>35</v>
      </c>
      <c r="E38" s="13"/>
      <c r="F38" s="14" t="str">
        <f aca="false">IF(E38="","",IF(E38&gt;0,$B$7/E38^2,"invalid"))</f>
        <v/>
      </c>
      <c r="H38" s="15" t="n">
        <f aca="false">0.5*$B$3+34*0.05*$B$3</f>
        <v>176</v>
      </c>
      <c r="I38" s="16" t="n">
        <f aca="false">IF(H38&gt;0,$B$7/H38^2,"invalid")</f>
        <v>82.6446280991736</v>
      </c>
      <c r="J38" s="16" t="n">
        <f aca="false">$B$5</f>
        <v>400</v>
      </c>
    </row>
    <row r="39" customFormat="false" ht="15" hidden="false" customHeight="false" outlineLevel="0" collapsed="false">
      <c r="D39" s="12" t="n">
        <v>36</v>
      </c>
      <c r="E39" s="13"/>
      <c r="F39" s="14" t="str">
        <f aca="false">IF(E39="","",IF(E39&gt;0,$B$7/E39^2,"invalid"))</f>
        <v/>
      </c>
      <c r="H39" s="15" t="n">
        <f aca="false">0.5*$B$3+35*0.05*$B$3</f>
        <v>180</v>
      </c>
      <c r="I39" s="16" t="n">
        <f aca="false">IF(H39&gt;0,$B$7/H39^2,"invalid")</f>
        <v>79.0123456790123</v>
      </c>
      <c r="J39" s="16" t="n">
        <f aca="false">$B$5</f>
        <v>400</v>
      </c>
    </row>
    <row r="40" customFormat="false" ht="15" hidden="false" customHeight="false" outlineLevel="0" collapsed="false">
      <c r="D40" s="12" t="n">
        <v>37</v>
      </c>
      <c r="E40" s="13"/>
      <c r="F40" s="14" t="str">
        <f aca="false">IF(E40="","",IF(E40&gt;0,$B$7/E40^2,"invalid"))</f>
        <v/>
      </c>
      <c r="H40" s="15" t="n">
        <f aca="false">0.5*$B$3+36*0.05*$B$3</f>
        <v>184</v>
      </c>
      <c r="I40" s="16" t="n">
        <f aca="false">IF(H40&gt;0,$B$7/H40^2,"invalid")</f>
        <v>75.6143667296786</v>
      </c>
      <c r="J40" s="16" t="n">
        <f aca="false">$B$5</f>
        <v>400</v>
      </c>
    </row>
    <row r="41" customFormat="false" ht="15" hidden="false" customHeight="false" outlineLevel="0" collapsed="false">
      <c r="D41" s="12" t="n">
        <v>38</v>
      </c>
      <c r="E41" s="13"/>
      <c r="F41" s="14" t="str">
        <f aca="false">IF(E41="","",IF(E41&gt;0,$B$7/E41^2,"invalid"))</f>
        <v/>
      </c>
      <c r="H41" s="15" t="n">
        <f aca="false">0.5*$B$3+37*0.05*$B$3</f>
        <v>188</v>
      </c>
      <c r="I41" s="16" t="n">
        <f aca="false">IF(H41&gt;0,$B$7/H41^2,"invalid")</f>
        <v>72.4309642372114</v>
      </c>
      <c r="J41" s="16" t="n">
        <f aca="false">$B$5</f>
        <v>400</v>
      </c>
    </row>
    <row r="42" customFormat="false" ht="15" hidden="false" customHeight="false" outlineLevel="0" collapsed="false">
      <c r="D42" s="12" t="n">
        <v>39</v>
      </c>
      <c r="E42" s="13"/>
      <c r="F42" s="14" t="str">
        <f aca="false">IF(E42="","",IF(E42&gt;0,$B$7/E42^2,"invalid"))</f>
        <v/>
      </c>
      <c r="H42" s="15" t="n">
        <f aca="false">0.5*$B$3+38*0.05*$B$3</f>
        <v>192</v>
      </c>
      <c r="I42" s="16" t="n">
        <f aca="false">IF(H42&gt;0,$B$7/H42^2,"invalid")</f>
        <v>69.4444444444444</v>
      </c>
      <c r="J42" s="16" t="n">
        <f aca="false">$B$5</f>
        <v>400</v>
      </c>
    </row>
    <row r="43" customFormat="false" ht="15" hidden="false" customHeight="false" outlineLevel="0" collapsed="false">
      <c r="D43" s="12" t="n">
        <v>40</v>
      </c>
      <c r="E43" s="13"/>
      <c r="F43" s="14" t="str">
        <f aca="false">IF(E43="","",IF(E43&gt;0,$B$7/E43^2,"invalid"))</f>
        <v/>
      </c>
      <c r="H43" s="15" t="n">
        <f aca="false">0.5*$B$3+39*0.05*$B$3</f>
        <v>196</v>
      </c>
      <c r="I43" s="16" t="n">
        <f aca="false">IF(H43&gt;0,$B$7/H43^2,"invalid")</f>
        <v>66.6389004581424</v>
      </c>
      <c r="J43" s="16" t="n">
        <f aca="false">$B$5</f>
        <v>400</v>
      </c>
    </row>
    <row r="44" customFormat="false" ht="15" hidden="false" customHeight="false" outlineLevel="0" collapsed="false">
      <c r="D44" s="12" t="n">
        <v>41</v>
      </c>
      <c r="E44" s="13"/>
      <c r="F44" s="14" t="str">
        <f aca="false">IF(E44="","",IF(E44&gt;0,$B$7/E44^2,"invalid"))</f>
        <v/>
      </c>
      <c r="H44" s="15" t="n">
        <f aca="false">0.5*$B$3+40*0.05*$B$3</f>
        <v>200</v>
      </c>
      <c r="I44" s="16" t="n">
        <f aca="false">IF(H44&gt;0,$B$7/H44^2,"invalid")</f>
        <v>64</v>
      </c>
      <c r="J44" s="16" t="n">
        <f aca="false">$B$5</f>
        <v>400</v>
      </c>
    </row>
    <row r="45" customFormat="false" ht="15" hidden="false" customHeight="false" outlineLevel="0" collapsed="false">
      <c r="D45" s="12" t="n">
        <v>42</v>
      </c>
      <c r="E45" s="13"/>
      <c r="F45" s="14" t="str">
        <f aca="false">IF(E45="","",IF(E45&gt;0,$B$7/E45^2,"invalid"))</f>
        <v/>
      </c>
    </row>
    <row r="46" customFormat="false" ht="15" hidden="false" customHeight="false" outlineLevel="0" collapsed="false">
      <c r="D46" s="12" t="n">
        <v>43</v>
      </c>
      <c r="E46" s="13"/>
      <c r="F46" s="14" t="str">
        <f aca="false">IF(E46="","",IF(E46&gt;0,$B$7/E46^2,"invalid"))</f>
        <v/>
      </c>
    </row>
    <row r="47" customFormat="false" ht="15" hidden="false" customHeight="false" outlineLevel="0" collapsed="false">
      <c r="D47" s="12" t="n">
        <v>44</v>
      </c>
      <c r="E47" s="13"/>
      <c r="F47" s="14" t="str">
        <f aca="false">IF(E47="","",IF(E47&gt;0,$B$7/E47^2,"invalid"))</f>
        <v/>
      </c>
    </row>
    <row r="48" customFormat="false" ht="15" hidden="false" customHeight="false" outlineLevel="0" collapsed="false">
      <c r="D48" s="12" t="n">
        <v>45</v>
      </c>
      <c r="E48" s="13"/>
      <c r="F48" s="14" t="str">
        <f aca="false">IF(E48="","",IF(E48&gt;0,$B$7/E48^2,"invalid"))</f>
        <v/>
      </c>
    </row>
    <row r="49" customFormat="false" ht="15" hidden="false" customHeight="false" outlineLevel="0" collapsed="false">
      <c r="D49" s="12" t="n">
        <v>46</v>
      </c>
      <c r="E49" s="13"/>
      <c r="F49" s="14" t="str">
        <f aca="false">IF(E49="","",IF(E49&gt;0,$B$7/E49^2,"invalid"))</f>
        <v/>
      </c>
    </row>
    <row r="50" customFormat="false" ht="15" hidden="false" customHeight="false" outlineLevel="0" collapsed="false">
      <c r="D50" s="12" t="n">
        <v>47</v>
      </c>
      <c r="E50" s="13"/>
      <c r="F50" s="14" t="str">
        <f aca="false">IF(E50="","",IF(E50&gt;0,$B$7/E50^2,"invalid"))</f>
        <v/>
      </c>
    </row>
    <row r="51" customFormat="false" ht="15" hidden="false" customHeight="false" outlineLevel="0" collapsed="false">
      <c r="D51" s="12" t="n">
        <v>48</v>
      </c>
      <c r="E51" s="13"/>
      <c r="F51" s="14" t="str">
        <f aca="false">IF(E51="","",IF(E51&gt;0,$B$7/E51^2,"invalid"))</f>
        <v/>
      </c>
    </row>
    <row r="52" customFormat="false" ht="15" hidden="false" customHeight="false" outlineLevel="0" collapsed="false">
      <c r="D52" s="12" t="n">
        <v>49</v>
      </c>
      <c r="E52" s="13"/>
      <c r="F52" s="14" t="str">
        <f aca="false">IF(E52="","",IF(E52&gt;0,$B$7/E52^2,"invalid"))</f>
        <v/>
      </c>
    </row>
    <row r="53" customFormat="false" ht="15" hidden="false" customHeight="false" outlineLevel="0" collapsed="false">
      <c r="D53" s="12" t="n">
        <v>50</v>
      </c>
      <c r="E53" s="13"/>
      <c r="F53" s="14" t="str">
        <f aca="false">IF(E53="","",IF(E53&gt;0,$B$7/E53^2,"invalid"))</f>
        <v/>
      </c>
    </row>
    <row r="54" customFormat="false" ht="15" hidden="false" customHeight="false" outlineLevel="0" collapsed="false">
      <c r="D54" s="12" t="n">
        <v>51</v>
      </c>
      <c r="E54" s="13"/>
      <c r="F54" s="14" t="str">
        <f aca="false">IF(E54="","",IF(E54&gt;0,$B$7/E54^2,"invalid"))</f>
        <v/>
      </c>
    </row>
    <row r="55" customFormat="false" ht="15" hidden="false" customHeight="false" outlineLevel="0" collapsed="false">
      <c r="D55" s="12" t="n">
        <v>52</v>
      </c>
      <c r="E55" s="13"/>
      <c r="F55" s="14" t="str">
        <f aca="false">IF(E55="","",IF(E55&gt;0,$B$7/E55^2,"invalid"))</f>
        <v/>
      </c>
    </row>
    <row r="56" customFormat="false" ht="15" hidden="false" customHeight="false" outlineLevel="0" collapsed="false">
      <c r="D56" s="12" t="n">
        <v>53</v>
      </c>
      <c r="E56" s="13"/>
      <c r="F56" s="14" t="str">
        <f aca="false">IF(E56="","",IF(E56&gt;0,$B$7/E56^2,"invalid"))</f>
        <v/>
      </c>
    </row>
    <row r="57" customFormat="false" ht="15" hidden="false" customHeight="false" outlineLevel="0" collapsed="false">
      <c r="D57" s="12" t="n">
        <v>54</v>
      </c>
      <c r="E57" s="13"/>
      <c r="F57" s="14" t="str">
        <f aca="false">IF(E57="","",IF(E57&gt;0,$B$7/E57^2,"invalid"))</f>
        <v/>
      </c>
    </row>
    <row r="58" customFormat="false" ht="15" hidden="false" customHeight="false" outlineLevel="0" collapsed="false">
      <c r="D58" s="12" t="n">
        <v>55</v>
      </c>
      <c r="E58" s="13"/>
      <c r="F58" s="14" t="str">
        <f aca="false">IF(E58="","",IF(E58&gt;0,$B$7/E58^2,"invalid"))</f>
        <v/>
      </c>
    </row>
    <row r="59" customFormat="false" ht="15" hidden="false" customHeight="false" outlineLevel="0" collapsed="false">
      <c r="D59" s="12" t="n">
        <v>56</v>
      </c>
      <c r="E59" s="13"/>
      <c r="F59" s="14" t="str">
        <f aca="false">IF(E59="","",IF(E59&gt;0,$B$7/E59^2,"invalid"))</f>
        <v/>
      </c>
    </row>
    <row r="60" customFormat="false" ht="15" hidden="false" customHeight="false" outlineLevel="0" collapsed="false">
      <c r="D60" s="12" t="n">
        <v>57</v>
      </c>
      <c r="E60" s="13"/>
      <c r="F60" s="14" t="str">
        <f aca="false">IF(E60="","",IF(E60&gt;0,$B$7/E60^2,"invalid"))</f>
        <v/>
      </c>
    </row>
    <row r="61" customFormat="false" ht="15" hidden="false" customHeight="false" outlineLevel="0" collapsed="false">
      <c r="D61" s="12" t="n">
        <v>58</v>
      </c>
      <c r="E61" s="13"/>
      <c r="F61" s="14" t="str">
        <f aca="false">IF(E61="","",IF(E61&gt;0,$B$7/E61^2,"invalid"))</f>
        <v/>
      </c>
    </row>
    <row r="62" customFormat="false" ht="15" hidden="false" customHeight="false" outlineLevel="0" collapsed="false">
      <c r="D62" s="12" t="n">
        <v>59</v>
      </c>
      <c r="E62" s="13"/>
      <c r="F62" s="14" t="str">
        <f aca="false">IF(E62="","",IF(E62&gt;0,$B$7/E62^2,"invalid"))</f>
        <v/>
      </c>
    </row>
    <row r="63" customFormat="false" ht="15" hidden="false" customHeight="false" outlineLevel="0" collapsed="false">
      <c r="D63" s="12" t="n">
        <v>60</v>
      </c>
      <c r="E63" s="13"/>
      <c r="F63" s="14" t="str">
        <f aca="false">IF(E63="","",IF(E63&gt;0,$B$7/E63^2,"invalid"))</f>
        <v/>
      </c>
    </row>
    <row r="64" customFormat="false" ht="15" hidden="false" customHeight="false" outlineLevel="0" collapsed="false">
      <c r="D64" s="12" t="n">
        <v>61</v>
      </c>
      <c r="E64" s="13"/>
      <c r="F64" s="14" t="str">
        <f aca="false">IF(E64="","",IF(E64&gt;0,$B$7/E64^2,"invalid"))</f>
        <v/>
      </c>
    </row>
    <row r="65" customFormat="false" ht="15" hidden="false" customHeight="false" outlineLevel="0" collapsed="false">
      <c r="D65" s="12" t="n">
        <v>62</v>
      </c>
      <c r="E65" s="13"/>
      <c r="F65" s="14" t="str">
        <f aca="false">IF(E65="","",IF(E65&gt;0,$B$7/E65^2,"invalid"))</f>
        <v/>
      </c>
    </row>
    <row r="66" customFormat="false" ht="15" hidden="false" customHeight="false" outlineLevel="0" collapsed="false">
      <c r="D66" s="12" t="n">
        <v>63</v>
      </c>
      <c r="E66" s="13"/>
      <c r="F66" s="14" t="str">
        <f aca="false">IF(E66="","",IF(E66&gt;0,$B$7/E66^2,"invalid"))</f>
        <v/>
      </c>
    </row>
    <row r="67" customFormat="false" ht="15" hidden="false" customHeight="false" outlineLevel="0" collapsed="false">
      <c r="D67" s="12" t="n">
        <v>64</v>
      </c>
      <c r="E67" s="13"/>
      <c r="F67" s="14" t="str">
        <f aca="false">IF(E67="","",IF(E67&gt;0,$B$7/E67^2,"invalid"))</f>
        <v/>
      </c>
    </row>
    <row r="68" customFormat="false" ht="15" hidden="false" customHeight="false" outlineLevel="0" collapsed="false">
      <c r="D68" s="12" t="n">
        <v>65</v>
      </c>
      <c r="E68" s="13"/>
      <c r="F68" s="14" t="str">
        <f aca="false">IF(E68="","",IF(E68&gt;0,$B$7/E68^2,"invalid"))</f>
        <v/>
      </c>
    </row>
    <row r="69" customFormat="false" ht="15" hidden="false" customHeight="false" outlineLevel="0" collapsed="false">
      <c r="D69" s="12" t="n">
        <v>66</v>
      </c>
      <c r="E69" s="13"/>
      <c r="F69" s="14" t="str">
        <f aca="false">IF(E69="","",IF(E69&gt;0,$B$7/E69^2,"invalid"))</f>
        <v/>
      </c>
    </row>
    <row r="70" customFormat="false" ht="15" hidden="false" customHeight="false" outlineLevel="0" collapsed="false">
      <c r="D70" s="12" t="n">
        <v>67</v>
      </c>
      <c r="E70" s="13"/>
      <c r="F70" s="14" t="str">
        <f aca="false">IF(E70="","",IF(E70&gt;0,$B$7/E70^2,"invalid"))</f>
        <v/>
      </c>
    </row>
    <row r="71" customFormat="false" ht="15" hidden="false" customHeight="false" outlineLevel="0" collapsed="false">
      <c r="D71" s="12" t="n">
        <v>68</v>
      </c>
      <c r="E71" s="13"/>
      <c r="F71" s="14" t="str">
        <f aca="false">IF(E71="","",IF(E71&gt;0,$B$7/E71^2,"invalid"))</f>
        <v/>
      </c>
    </row>
    <row r="72" customFormat="false" ht="15" hidden="false" customHeight="false" outlineLevel="0" collapsed="false">
      <c r="D72" s="12" t="n">
        <v>69</v>
      </c>
      <c r="E72" s="13"/>
      <c r="F72" s="14" t="str">
        <f aca="false">IF(E72="","",IF(E72&gt;0,$B$7/E72^2,"invalid"))</f>
        <v/>
      </c>
    </row>
    <row r="73" customFormat="false" ht="15" hidden="false" customHeight="false" outlineLevel="0" collapsed="false">
      <c r="D73" s="12" t="n">
        <v>70</v>
      </c>
      <c r="E73" s="13"/>
      <c r="F73" s="14" t="str">
        <f aca="false">IF(E73="","",IF(E73&gt;0,$B$7/E73^2,"invalid"))</f>
        <v/>
      </c>
    </row>
    <row r="74" customFormat="false" ht="15" hidden="false" customHeight="false" outlineLevel="0" collapsed="false">
      <c r="D74" s="12" t="n">
        <v>71</v>
      </c>
      <c r="E74" s="13"/>
      <c r="F74" s="14" t="str">
        <f aca="false">IF(E74="","",IF(E74&gt;0,$B$7/E74^2,"invalid"))</f>
        <v/>
      </c>
    </row>
    <row r="75" customFormat="false" ht="15" hidden="false" customHeight="false" outlineLevel="0" collapsed="false">
      <c r="D75" s="12" t="n">
        <v>72</v>
      </c>
      <c r="E75" s="13"/>
      <c r="F75" s="14" t="str">
        <f aca="false">IF(E75="","",IF(E75&gt;0,$B$7/E75^2,"invalid"))</f>
        <v/>
      </c>
    </row>
    <row r="76" customFormat="false" ht="15" hidden="false" customHeight="false" outlineLevel="0" collapsed="false">
      <c r="D76" s="12" t="n">
        <v>73</v>
      </c>
      <c r="E76" s="13"/>
      <c r="F76" s="14" t="str">
        <f aca="false">IF(E76="","",IF(E76&gt;0,$B$7/E76^2,"invalid"))</f>
        <v/>
      </c>
    </row>
    <row r="77" customFormat="false" ht="15" hidden="false" customHeight="false" outlineLevel="0" collapsed="false">
      <c r="D77" s="12" t="n">
        <v>74</v>
      </c>
      <c r="E77" s="13"/>
      <c r="F77" s="14" t="str">
        <f aca="false">IF(E77="","",IF(E77&gt;0,$B$7/E77^2,"invalid"))</f>
        <v/>
      </c>
    </row>
    <row r="78" customFormat="false" ht="15" hidden="false" customHeight="false" outlineLevel="0" collapsed="false">
      <c r="D78" s="12" t="n">
        <v>75</v>
      </c>
      <c r="E78" s="13"/>
      <c r="F78" s="14" t="str">
        <f aca="false">IF(E78="","",IF(E78&gt;0,$B$7/E78^2,"invalid"))</f>
        <v/>
      </c>
    </row>
    <row r="79" customFormat="false" ht="15" hidden="false" customHeight="false" outlineLevel="0" collapsed="false">
      <c r="D79" s="12" t="n">
        <v>76</v>
      </c>
      <c r="E79" s="13"/>
      <c r="F79" s="14" t="str">
        <f aca="false">IF(E79="","",IF(E79&gt;0,$B$7/E79^2,"invalid"))</f>
        <v/>
      </c>
    </row>
    <row r="80" customFormat="false" ht="15" hidden="false" customHeight="false" outlineLevel="0" collapsed="false">
      <c r="D80" s="12" t="n">
        <v>77</v>
      </c>
      <c r="E80" s="13"/>
      <c r="F80" s="14" t="str">
        <f aca="false">IF(E80="","",IF(E80&gt;0,$B$7/E80^2,"invalid"))</f>
        <v/>
      </c>
    </row>
    <row r="81" customFormat="false" ht="15" hidden="false" customHeight="false" outlineLevel="0" collapsed="false">
      <c r="D81" s="12" t="n">
        <v>78</v>
      </c>
      <c r="E81" s="13"/>
      <c r="F81" s="14" t="str">
        <f aca="false">IF(E81="","",IF(E81&gt;0,$B$7/E81^2,"invalid"))</f>
        <v/>
      </c>
    </row>
    <row r="82" customFormat="false" ht="15" hidden="false" customHeight="false" outlineLevel="0" collapsed="false">
      <c r="D82" s="12" t="n">
        <v>79</v>
      </c>
      <c r="E82" s="13"/>
      <c r="F82" s="14" t="str">
        <f aca="false">IF(E82="","",IF(E82&gt;0,$B$7/E82^2,"invalid"))</f>
        <v/>
      </c>
    </row>
    <row r="83" customFormat="false" ht="15" hidden="false" customHeight="false" outlineLevel="0" collapsed="false">
      <c r="D83" s="12" t="n">
        <v>80</v>
      </c>
      <c r="E83" s="13"/>
      <c r="F83" s="14" t="str">
        <f aca="false">IF(E83="","",IF(E83&gt;0,$B$7/E83^2,"invalid"))</f>
        <v/>
      </c>
    </row>
    <row r="84" customFormat="false" ht="15" hidden="false" customHeight="false" outlineLevel="0" collapsed="false">
      <c r="D84" s="12" t="n">
        <v>81</v>
      </c>
      <c r="E84" s="13"/>
      <c r="F84" s="14" t="str">
        <f aca="false">IF(E84="","",IF(E84&gt;0,$B$7/E84^2,"invalid"))</f>
        <v/>
      </c>
    </row>
    <row r="85" customFormat="false" ht="15" hidden="false" customHeight="false" outlineLevel="0" collapsed="false">
      <c r="D85" s="12" t="n">
        <v>82</v>
      </c>
      <c r="E85" s="13"/>
      <c r="F85" s="14" t="str">
        <f aca="false">IF(E85="","",IF(E85&gt;0,$B$7/E85^2,"invalid"))</f>
        <v/>
      </c>
    </row>
    <row r="86" customFormat="false" ht="15" hidden="false" customHeight="false" outlineLevel="0" collapsed="false">
      <c r="D86" s="12" t="n">
        <v>83</v>
      </c>
      <c r="E86" s="13"/>
      <c r="F86" s="14" t="str">
        <f aca="false">IF(E86="","",IF(E86&gt;0,$B$7/E86^2,"invalid"))</f>
        <v/>
      </c>
    </row>
    <row r="87" customFormat="false" ht="15" hidden="false" customHeight="false" outlineLevel="0" collapsed="false">
      <c r="D87" s="12" t="n">
        <v>84</v>
      </c>
      <c r="E87" s="13"/>
      <c r="F87" s="14" t="str">
        <f aca="false">IF(E87="","",IF(E87&gt;0,$B$7/E87^2,"invalid"))</f>
        <v/>
      </c>
    </row>
    <row r="88" customFormat="false" ht="15" hidden="false" customHeight="false" outlineLevel="0" collapsed="false">
      <c r="D88" s="12" t="n">
        <v>85</v>
      </c>
      <c r="E88" s="13"/>
      <c r="F88" s="14" t="str">
        <f aca="false">IF(E88="","",IF(E88&gt;0,$B$7/E88^2,"invalid"))</f>
        <v/>
      </c>
    </row>
    <row r="89" customFormat="false" ht="15" hidden="false" customHeight="false" outlineLevel="0" collapsed="false">
      <c r="D89" s="12" t="n">
        <v>86</v>
      </c>
      <c r="E89" s="13"/>
      <c r="F89" s="14" t="str">
        <f aca="false">IF(E89="","",IF(E89&gt;0,$B$7/E89^2,"invalid"))</f>
        <v/>
      </c>
    </row>
    <row r="90" customFormat="false" ht="15" hidden="false" customHeight="false" outlineLevel="0" collapsed="false">
      <c r="D90" s="12" t="n">
        <v>87</v>
      </c>
      <c r="E90" s="13"/>
      <c r="F90" s="14" t="str">
        <f aca="false">IF(E90="","",IF(E90&gt;0,$B$7/E90^2,"invalid"))</f>
        <v/>
      </c>
    </row>
    <row r="91" customFormat="false" ht="15" hidden="false" customHeight="false" outlineLevel="0" collapsed="false">
      <c r="D91" s="12" t="n">
        <v>88</v>
      </c>
      <c r="E91" s="13"/>
      <c r="F91" s="14" t="str">
        <f aca="false">IF(E91="","",IF(E91&gt;0,$B$7/E91^2,"invalid"))</f>
        <v/>
      </c>
    </row>
    <row r="92" customFormat="false" ht="15" hidden="false" customHeight="false" outlineLevel="0" collapsed="false">
      <c r="D92" s="12" t="n">
        <v>89</v>
      </c>
      <c r="E92" s="13"/>
      <c r="F92" s="14" t="str">
        <f aca="false">IF(E92="","",IF(E92&gt;0,$B$7/E92^2,"invalid"))</f>
        <v/>
      </c>
    </row>
    <row r="93" customFormat="false" ht="15" hidden="false" customHeight="false" outlineLevel="0" collapsed="false">
      <c r="D93" s="12" t="n">
        <v>90</v>
      </c>
      <c r="E93" s="13"/>
      <c r="F93" s="14" t="str">
        <f aca="false">IF(E93="","",IF(E93&gt;0,$B$7/E93^2,"invalid"))</f>
        <v/>
      </c>
    </row>
    <row r="94" customFormat="false" ht="15" hidden="false" customHeight="false" outlineLevel="0" collapsed="false">
      <c r="D94" s="12" t="n">
        <v>91</v>
      </c>
      <c r="E94" s="13"/>
      <c r="F94" s="14" t="str">
        <f aca="false">IF(E94="","",IF(E94&gt;0,$B$7/E94^2,"invalid"))</f>
        <v/>
      </c>
    </row>
    <row r="95" customFormat="false" ht="15" hidden="false" customHeight="false" outlineLevel="0" collapsed="false">
      <c r="D95" s="12" t="n">
        <v>92</v>
      </c>
      <c r="E95" s="13"/>
      <c r="F95" s="14" t="str">
        <f aca="false">IF(E95="","",IF(E95&gt;0,$B$7/E95^2,"invalid"))</f>
        <v/>
      </c>
    </row>
    <row r="96" customFormat="false" ht="15" hidden="false" customHeight="false" outlineLevel="0" collapsed="false">
      <c r="D96" s="12" t="n">
        <v>93</v>
      </c>
      <c r="E96" s="13"/>
      <c r="F96" s="14" t="str">
        <f aca="false">IF(E96="","",IF(E96&gt;0,$B$7/E96^2,"invalid"))</f>
        <v/>
      </c>
    </row>
    <row r="97" customFormat="false" ht="15" hidden="false" customHeight="false" outlineLevel="0" collapsed="false">
      <c r="D97" s="12" t="n">
        <v>94</v>
      </c>
      <c r="E97" s="13"/>
      <c r="F97" s="14" t="str">
        <f aca="false">IF(E97="","",IF(E97&gt;0,$B$7/E97^2,"invalid"))</f>
        <v/>
      </c>
    </row>
    <row r="98" customFormat="false" ht="15" hidden="false" customHeight="false" outlineLevel="0" collapsed="false">
      <c r="D98" s="12" t="n">
        <v>95</v>
      </c>
      <c r="E98" s="13"/>
      <c r="F98" s="14" t="str">
        <f aca="false">IF(E98="","",IF(E98&gt;0,$B$7/E98^2,"invalid"))</f>
        <v/>
      </c>
    </row>
    <row r="99" customFormat="false" ht="15" hidden="false" customHeight="false" outlineLevel="0" collapsed="false">
      <c r="D99" s="12" t="n">
        <v>96</v>
      </c>
      <c r="E99" s="13"/>
      <c r="F99" s="14" t="str">
        <f aca="false">IF(E99="","",IF(E99&gt;0,$B$7/E99^2,"invalid"))</f>
        <v/>
      </c>
    </row>
    <row r="100" customFormat="false" ht="15" hidden="false" customHeight="false" outlineLevel="0" collapsed="false">
      <c r="D100" s="12" t="n">
        <v>97</v>
      </c>
      <c r="E100" s="13"/>
      <c r="F100" s="14" t="str">
        <f aca="false">IF(E100="","",IF(E100&gt;0,$B$7/E100^2,"invalid"))</f>
        <v/>
      </c>
    </row>
    <row r="101" customFormat="false" ht="15" hidden="false" customHeight="false" outlineLevel="0" collapsed="false">
      <c r="D101" s="12" t="n">
        <v>98</v>
      </c>
      <c r="E101" s="13"/>
      <c r="F101" s="14" t="str">
        <f aca="false">IF(E101="","",IF(E101&gt;0,$B$7/E101^2,"invalid"))</f>
        <v/>
      </c>
    </row>
    <row r="102" customFormat="false" ht="15" hidden="false" customHeight="false" outlineLevel="0" collapsed="false">
      <c r="D102" s="12" t="n">
        <v>99</v>
      </c>
      <c r="E102" s="13"/>
      <c r="F102" s="14" t="str">
        <f aca="false">IF(E102="","",IF(E102&gt;0,$B$7/E102^2,"invalid"))</f>
        <v/>
      </c>
    </row>
    <row r="103" customFormat="false" ht="15" hidden="false" customHeight="false" outlineLevel="0" collapsed="false">
      <c r="D103" s="12" t="n">
        <v>100</v>
      </c>
      <c r="E103" s="13"/>
      <c r="F103" s="14" t="str">
        <f aca="false">IF(E103="","",IF(E103&gt;0,$B$7/E103^2,"invalid"))</f>
        <v/>
      </c>
    </row>
    <row r="104" customFormat="false" ht="15" hidden="false" customHeight="false" outlineLevel="0" collapsed="false">
      <c r="D104" s="12" t="n">
        <v>101</v>
      </c>
      <c r="E104" s="13"/>
      <c r="F104" s="14" t="str">
        <f aca="false">IF(E104="","",IF(E104&gt;0,$B$7/E104^2,"invalid"))</f>
        <v/>
      </c>
    </row>
    <row r="105" customFormat="false" ht="15" hidden="false" customHeight="false" outlineLevel="0" collapsed="false">
      <c r="D105" s="12" t="n">
        <v>102</v>
      </c>
      <c r="E105" s="13"/>
      <c r="F105" s="14" t="str">
        <f aca="false">IF(E105="","",IF(E105&gt;0,$B$7/E105^2,"invalid"))</f>
        <v/>
      </c>
    </row>
    <row r="106" customFormat="false" ht="15" hidden="false" customHeight="false" outlineLevel="0" collapsed="false">
      <c r="D106" s="12" t="n">
        <v>103</v>
      </c>
      <c r="E106" s="13"/>
      <c r="F106" s="14" t="str">
        <f aca="false">IF(E106="","",IF(E106&gt;0,$B$7/E106^2,"invalid"))</f>
        <v/>
      </c>
    </row>
    <row r="107" customFormat="false" ht="15" hidden="false" customHeight="false" outlineLevel="0" collapsed="false">
      <c r="D107" s="12" t="n">
        <v>104</v>
      </c>
      <c r="E107" s="13"/>
      <c r="F107" s="14" t="str">
        <f aca="false">IF(E107="","",IF(E107&gt;0,$B$7/E107^2,"invalid"))</f>
        <v/>
      </c>
    </row>
    <row r="108" customFormat="false" ht="15" hidden="false" customHeight="false" outlineLevel="0" collapsed="false">
      <c r="D108" s="12" t="n">
        <v>105</v>
      </c>
      <c r="E108" s="13"/>
      <c r="F108" s="14" t="str">
        <f aca="false">IF(E108="","",IF(E108&gt;0,$B$7/E108^2,"invalid"))</f>
        <v/>
      </c>
    </row>
    <row r="109" customFormat="false" ht="15" hidden="false" customHeight="false" outlineLevel="0" collapsed="false">
      <c r="D109" s="12" t="n">
        <v>106</v>
      </c>
      <c r="E109" s="13"/>
      <c r="F109" s="14" t="str">
        <f aca="false">IF(E109="","",IF(E109&gt;0,$B$7/E109^2,"invalid"))</f>
        <v/>
      </c>
    </row>
    <row r="110" customFormat="false" ht="15" hidden="false" customHeight="false" outlineLevel="0" collapsed="false">
      <c r="D110" s="12" t="n">
        <v>107</v>
      </c>
      <c r="E110" s="13"/>
      <c r="F110" s="14" t="str">
        <f aca="false">IF(E110="","",IF(E110&gt;0,$B$7/E110^2,"invalid"))</f>
        <v/>
      </c>
    </row>
    <row r="111" customFormat="false" ht="15" hidden="false" customHeight="false" outlineLevel="0" collapsed="false">
      <c r="D111" s="12" t="n">
        <v>108</v>
      </c>
      <c r="E111" s="13"/>
      <c r="F111" s="14" t="str">
        <f aca="false">IF(E111="","",IF(E111&gt;0,$B$7/E111^2,"invalid"))</f>
        <v/>
      </c>
    </row>
    <row r="112" customFormat="false" ht="15" hidden="false" customHeight="false" outlineLevel="0" collapsed="false">
      <c r="D112" s="12" t="n">
        <v>109</v>
      </c>
      <c r="E112" s="13"/>
      <c r="F112" s="14" t="str">
        <f aca="false">IF(E112="","",IF(E112&gt;0,$B$7/E112^2,"invalid"))</f>
        <v/>
      </c>
    </row>
    <row r="113" customFormat="false" ht="15" hidden="false" customHeight="false" outlineLevel="0" collapsed="false">
      <c r="D113" s="12" t="n">
        <v>110</v>
      </c>
      <c r="E113" s="13"/>
      <c r="F113" s="14" t="str">
        <f aca="false">IF(E113="","",IF(E113&gt;0,$B$7/E113^2,"invalid"))</f>
        <v/>
      </c>
    </row>
    <row r="114" customFormat="false" ht="15" hidden="false" customHeight="false" outlineLevel="0" collapsed="false">
      <c r="D114" s="12" t="n">
        <v>111</v>
      </c>
      <c r="E114" s="13"/>
      <c r="F114" s="14" t="str">
        <f aca="false">IF(E114="","",IF(E114&gt;0,$B$7/E114^2,"invalid"))</f>
        <v/>
      </c>
    </row>
    <row r="115" customFormat="false" ht="15" hidden="false" customHeight="false" outlineLevel="0" collapsed="false">
      <c r="D115" s="12" t="n">
        <v>112</v>
      </c>
      <c r="E115" s="13"/>
      <c r="F115" s="14" t="str">
        <f aca="false">IF(E115="","",IF(E115&gt;0,$B$7/E115^2,"invalid"))</f>
        <v/>
      </c>
    </row>
    <row r="116" customFormat="false" ht="15" hidden="false" customHeight="false" outlineLevel="0" collapsed="false">
      <c r="D116" s="12" t="n">
        <v>113</v>
      </c>
      <c r="E116" s="13"/>
      <c r="F116" s="14" t="str">
        <f aca="false">IF(E116="","",IF(E116&gt;0,$B$7/E116^2,"invalid"))</f>
        <v/>
      </c>
    </row>
    <row r="117" customFormat="false" ht="15" hidden="false" customHeight="false" outlineLevel="0" collapsed="false">
      <c r="D117" s="12" t="n">
        <v>114</v>
      </c>
      <c r="E117" s="13"/>
      <c r="F117" s="14" t="str">
        <f aca="false">IF(E117="","",IF(E117&gt;0,$B$7/E117^2,"invalid"))</f>
        <v/>
      </c>
    </row>
    <row r="118" customFormat="false" ht="15" hidden="false" customHeight="false" outlineLevel="0" collapsed="false">
      <c r="D118" s="12" t="n">
        <v>115</v>
      </c>
      <c r="E118" s="13"/>
      <c r="F118" s="14" t="str">
        <f aca="false">IF(E118="","",IF(E118&gt;0,$B$7/E118^2,"invalid"))</f>
        <v/>
      </c>
    </row>
    <row r="119" customFormat="false" ht="15" hidden="false" customHeight="false" outlineLevel="0" collapsed="false">
      <c r="D119" s="12" t="n">
        <v>116</v>
      </c>
      <c r="E119" s="13"/>
      <c r="F119" s="14" t="str">
        <f aca="false">IF(E119="","",IF(E119&gt;0,$B$7/E119^2,"invalid"))</f>
        <v/>
      </c>
    </row>
    <row r="120" customFormat="false" ht="15" hidden="false" customHeight="false" outlineLevel="0" collapsed="false">
      <c r="D120" s="12" t="n">
        <v>117</v>
      </c>
      <c r="E120" s="13"/>
      <c r="F120" s="14" t="str">
        <f aca="false">IF(E120="","",IF(E120&gt;0,$B$7/E120^2,"invalid"))</f>
        <v/>
      </c>
    </row>
    <row r="121" customFormat="false" ht="15" hidden="false" customHeight="false" outlineLevel="0" collapsed="false">
      <c r="D121" s="12" t="n">
        <v>118</v>
      </c>
      <c r="E121" s="13"/>
      <c r="F121" s="14" t="str">
        <f aca="false">IF(E121="","",IF(E121&gt;0,$B$7/E121^2,"invalid"))</f>
        <v/>
      </c>
    </row>
    <row r="122" customFormat="false" ht="15" hidden="false" customHeight="false" outlineLevel="0" collapsed="false">
      <c r="D122" s="12" t="n">
        <v>119</v>
      </c>
      <c r="E122" s="13"/>
      <c r="F122" s="14" t="str">
        <f aca="false">IF(E122="","",IF(E122&gt;0,$B$7/E122^2,"invalid"))</f>
        <v/>
      </c>
    </row>
    <row r="123" customFormat="false" ht="15" hidden="false" customHeight="false" outlineLevel="0" collapsed="false">
      <c r="D123" s="12" t="n">
        <v>120</v>
      </c>
      <c r="E123" s="13"/>
      <c r="F123" s="14" t="str">
        <f aca="false">IF(E123="","",IF(E123&gt;0,$B$7/E123^2,"invalid"))</f>
        <v/>
      </c>
    </row>
    <row r="124" customFormat="false" ht="15" hidden="false" customHeight="false" outlineLevel="0" collapsed="false">
      <c r="D124" s="12" t="n">
        <v>121</v>
      </c>
      <c r="E124" s="13"/>
      <c r="F124" s="14" t="str">
        <f aca="false">IF(E124="","",IF(E124&gt;0,$B$7/E124^2,"invalid"))</f>
        <v/>
      </c>
    </row>
    <row r="125" customFormat="false" ht="15" hidden="false" customHeight="false" outlineLevel="0" collapsed="false">
      <c r="D125" s="12" t="n">
        <v>122</v>
      </c>
      <c r="E125" s="13"/>
      <c r="F125" s="14" t="str">
        <f aca="false">IF(E125="","",IF(E125&gt;0,$B$7/E125^2,"invalid"))</f>
        <v/>
      </c>
    </row>
    <row r="126" customFormat="false" ht="15" hidden="false" customHeight="false" outlineLevel="0" collapsed="false">
      <c r="D126" s="12" t="n">
        <v>123</v>
      </c>
      <c r="E126" s="13"/>
      <c r="F126" s="14" t="str">
        <f aca="false">IF(E126="","",IF(E126&gt;0,$B$7/E126^2,"invalid"))</f>
        <v/>
      </c>
    </row>
    <row r="127" customFormat="false" ht="15" hidden="false" customHeight="false" outlineLevel="0" collapsed="false">
      <c r="D127" s="12" t="n">
        <v>124</v>
      </c>
      <c r="E127" s="13"/>
      <c r="F127" s="14" t="str">
        <f aca="false">IF(E127="","",IF(E127&gt;0,$B$7/E127^2,"invalid"))</f>
        <v/>
      </c>
    </row>
    <row r="128" customFormat="false" ht="15" hidden="false" customHeight="false" outlineLevel="0" collapsed="false">
      <c r="D128" s="12" t="n">
        <v>125</v>
      </c>
      <c r="E128" s="13"/>
      <c r="F128" s="14" t="str">
        <f aca="false">IF(E128="","",IF(E128&gt;0,$B$7/E128^2,"invalid"))</f>
        <v/>
      </c>
    </row>
    <row r="129" customFormat="false" ht="15" hidden="false" customHeight="false" outlineLevel="0" collapsed="false">
      <c r="D129" s="12" t="n">
        <v>126</v>
      </c>
      <c r="E129" s="13"/>
      <c r="F129" s="14" t="str">
        <f aca="false">IF(E129="","",IF(E129&gt;0,$B$7/E129^2,"invalid"))</f>
        <v/>
      </c>
    </row>
    <row r="130" customFormat="false" ht="15" hidden="false" customHeight="false" outlineLevel="0" collapsed="false">
      <c r="D130" s="12" t="n">
        <v>127</v>
      </c>
      <c r="E130" s="13"/>
      <c r="F130" s="14" t="str">
        <f aca="false">IF(E130="","",IF(E130&gt;0,$B$7/E130^2,"invalid"))</f>
        <v/>
      </c>
    </row>
    <row r="131" customFormat="false" ht="15" hidden="false" customHeight="false" outlineLevel="0" collapsed="false">
      <c r="D131" s="12" t="n">
        <v>128</v>
      </c>
      <c r="E131" s="13"/>
      <c r="F131" s="14" t="str">
        <f aca="false">IF(E131="","",IF(E131&gt;0,$B$7/E131^2,"invalid"))</f>
        <v/>
      </c>
    </row>
    <row r="132" customFormat="false" ht="15" hidden="false" customHeight="false" outlineLevel="0" collapsed="false">
      <c r="D132" s="12" t="n">
        <v>129</v>
      </c>
      <c r="E132" s="13"/>
      <c r="F132" s="14" t="str">
        <f aca="false">IF(E132="","",IF(E132&gt;0,$B$7/E132^2,"invalid"))</f>
        <v/>
      </c>
    </row>
    <row r="133" customFormat="false" ht="15" hidden="false" customHeight="false" outlineLevel="0" collapsed="false">
      <c r="D133" s="12" t="n">
        <v>130</v>
      </c>
      <c r="E133" s="13"/>
      <c r="F133" s="14" t="str">
        <f aca="false">IF(E133="","",IF(E133&gt;0,$B$7/E133^2,"invalid"))</f>
        <v/>
      </c>
    </row>
    <row r="134" customFormat="false" ht="15" hidden="false" customHeight="false" outlineLevel="0" collapsed="false">
      <c r="D134" s="12" t="n">
        <v>131</v>
      </c>
      <c r="E134" s="13"/>
      <c r="F134" s="14" t="str">
        <f aca="false">IF(E134="","",IF(E134&gt;0,$B$7/E134^2,"invalid"))</f>
        <v/>
      </c>
    </row>
    <row r="135" customFormat="false" ht="15" hidden="false" customHeight="false" outlineLevel="0" collapsed="false">
      <c r="D135" s="12" t="n">
        <v>132</v>
      </c>
      <c r="E135" s="13"/>
      <c r="F135" s="14" t="str">
        <f aca="false">IF(E135="","",IF(E135&gt;0,$B$7/E135^2,"invalid"))</f>
        <v/>
      </c>
    </row>
    <row r="136" customFormat="false" ht="15" hidden="false" customHeight="false" outlineLevel="0" collapsed="false">
      <c r="D136" s="12" t="n">
        <v>133</v>
      </c>
      <c r="E136" s="13"/>
      <c r="F136" s="14" t="str">
        <f aca="false">IF(E136="","",IF(E136&gt;0,$B$7/E136^2,"invalid"))</f>
        <v/>
      </c>
    </row>
    <row r="137" customFormat="false" ht="15" hidden="false" customHeight="false" outlineLevel="0" collapsed="false">
      <c r="D137" s="12" t="n">
        <v>134</v>
      </c>
      <c r="E137" s="13"/>
      <c r="F137" s="14" t="str">
        <f aca="false">IF(E137="","",IF(E137&gt;0,$B$7/E137^2,"invalid"))</f>
        <v/>
      </c>
    </row>
    <row r="138" customFormat="false" ht="15" hidden="false" customHeight="false" outlineLevel="0" collapsed="false">
      <c r="D138" s="12" t="n">
        <v>135</v>
      </c>
      <c r="E138" s="13"/>
      <c r="F138" s="14" t="str">
        <f aca="false">IF(E138="","",IF(E138&gt;0,$B$7/E138^2,"invalid"))</f>
        <v/>
      </c>
    </row>
    <row r="139" customFormat="false" ht="15" hidden="false" customHeight="false" outlineLevel="0" collapsed="false">
      <c r="D139" s="12" t="n">
        <v>136</v>
      </c>
      <c r="E139" s="13"/>
      <c r="F139" s="14" t="str">
        <f aca="false">IF(E139="","",IF(E139&gt;0,$B$7/E139^2,"invalid"))</f>
        <v/>
      </c>
    </row>
    <row r="140" customFormat="false" ht="15" hidden="false" customHeight="false" outlineLevel="0" collapsed="false">
      <c r="D140" s="12" t="n">
        <v>137</v>
      </c>
      <c r="E140" s="13"/>
      <c r="F140" s="14" t="str">
        <f aca="false">IF(E140="","",IF(E140&gt;0,$B$7/E140^2,"invalid"))</f>
        <v/>
      </c>
    </row>
    <row r="141" customFormat="false" ht="15" hidden="false" customHeight="false" outlineLevel="0" collapsed="false">
      <c r="D141" s="12" t="n">
        <v>138</v>
      </c>
      <c r="E141" s="13"/>
      <c r="F141" s="14" t="str">
        <f aca="false">IF(E141="","",IF(E141&gt;0,$B$7/E141^2,"invalid"))</f>
        <v/>
      </c>
    </row>
    <row r="142" customFormat="false" ht="15" hidden="false" customHeight="false" outlineLevel="0" collapsed="false">
      <c r="D142" s="12" t="n">
        <v>139</v>
      </c>
      <c r="E142" s="13"/>
      <c r="F142" s="14" t="str">
        <f aca="false">IF(E142="","",IF(E142&gt;0,$B$7/E142^2,"invalid"))</f>
        <v/>
      </c>
    </row>
    <row r="143" customFormat="false" ht="15" hidden="false" customHeight="false" outlineLevel="0" collapsed="false">
      <c r="D143" s="12" t="n">
        <v>140</v>
      </c>
      <c r="E143" s="13"/>
      <c r="F143" s="14" t="str">
        <f aca="false">IF(E143="","",IF(E143&gt;0,$B$7/E143^2,"invalid"))</f>
        <v/>
      </c>
    </row>
    <row r="144" customFormat="false" ht="15" hidden="false" customHeight="false" outlineLevel="0" collapsed="false">
      <c r="D144" s="12" t="n">
        <v>141</v>
      </c>
      <c r="E144" s="13"/>
      <c r="F144" s="14" t="str">
        <f aca="false">IF(E144="","",IF(E144&gt;0,$B$7/E144^2,"invalid"))</f>
        <v/>
      </c>
    </row>
    <row r="145" customFormat="false" ht="15" hidden="false" customHeight="false" outlineLevel="0" collapsed="false">
      <c r="D145" s="12" t="n">
        <v>142</v>
      </c>
      <c r="E145" s="13"/>
      <c r="F145" s="14" t="str">
        <f aca="false">IF(E145="","",IF(E145&gt;0,$B$7/E145^2,"invalid"))</f>
        <v/>
      </c>
    </row>
    <row r="146" customFormat="false" ht="15" hidden="false" customHeight="false" outlineLevel="0" collapsed="false">
      <c r="D146" s="12" t="n">
        <v>143</v>
      </c>
      <c r="E146" s="13"/>
      <c r="F146" s="14" t="str">
        <f aca="false">IF(E146="","",IF(E146&gt;0,$B$7/E146^2,"invalid"))</f>
        <v/>
      </c>
    </row>
    <row r="147" customFormat="false" ht="15" hidden="false" customHeight="false" outlineLevel="0" collapsed="false">
      <c r="D147" s="12" t="n">
        <v>144</v>
      </c>
      <c r="E147" s="13"/>
      <c r="F147" s="14" t="str">
        <f aca="false">IF(E147="","",IF(E147&gt;0,$B$7/E147^2,"invalid"))</f>
        <v/>
      </c>
    </row>
    <row r="148" customFormat="false" ht="15" hidden="false" customHeight="false" outlineLevel="0" collapsed="false">
      <c r="D148" s="12" t="n">
        <v>145</v>
      </c>
      <c r="E148" s="13"/>
      <c r="F148" s="14" t="str">
        <f aca="false">IF(E148="","",IF(E148&gt;0,$B$7/E148^2,"invalid"))</f>
        <v/>
      </c>
    </row>
    <row r="149" customFormat="false" ht="15" hidden="false" customHeight="false" outlineLevel="0" collapsed="false">
      <c r="D149" s="12" t="n">
        <v>146</v>
      </c>
      <c r="E149" s="13"/>
      <c r="F149" s="14" t="str">
        <f aca="false">IF(E149="","",IF(E149&gt;0,$B$7/E149^2,"invalid"))</f>
        <v/>
      </c>
    </row>
    <row r="150" customFormat="false" ht="15" hidden="false" customHeight="false" outlineLevel="0" collapsed="false">
      <c r="D150" s="12" t="n">
        <v>147</v>
      </c>
      <c r="E150" s="13"/>
      <c r="F150" s="14" t="str">
        <f aca="false">IF(E150="","",IF(E150&gt;0,$B$7/E150^2,"invalid"))</f>
        <v/>
      </c>
    </row>
    <row r="151" customFormat="false" ht="15" hidden="false" customHeight="false" outlineLevel="0" collapsed="false">
      <c r="D151" s="12" t="n">
        <v>148</v>
      </c>
      <c r="E151" s="13"/>
      <c r="F151" s="14" t="str">
        <f aca="false">IF(E151="","",IF(E151&gt;0,$B$7/E151^2,"invalid"))</f>
        <v/>
      </c>
    </row>
    <row r="152" customFormat="false" ht="15" hidden="false" customHeight="false" outlineLevel="0" collapsed="false">
      <c r="D152" s="12" t="n">
        <v>149</v>
      </c>
      <c r="E152" s="13"/>
      <c r="F152" s="14" t="str">
        <f aca="false">IF(E152="","",IF(E152&gt;0,$B$7/E152^2,"invalid"))</f>
        <v/>
      </c>
    </row>
    <row r="153" customFormat="false" ht="15" hidden="false" customHeight="false" outlineLevel="0" collapsed="false">
      <c r="D153" s="12" t="n">
        <v>150</v>
      </c>
      <c r="E153" s="13"/>
      <c r="F153" s="14" t="str">
        <f aca="false">IF(E153="","",IF(E153&gt;0,$B$7/E153^2,"invalid"))</f>
        <v/>
      </c>
    </row>
    <row r="154" customFormat="false" ht="15" hidden="false" customHeight="false" outlineLevel="0" collapsed="false">
      <c r="D154" s="12" t="n">
        <v>151</v>
      </c>
      <c r="E154" s="13"/>
      <c r="F154" s="14" t="str">
        <f aca="false">IF(E154="","",IF(E154&gt;0,$B$7/E154^2,"invalid"))</f>
        <v/>
      </c>
    </row>
    <row r="155" customFormat="false" ht="15" hidden="false" customHeight="false" outlineLevel="0" collapsed="false">
      <c r="D155" s="12" t="n">
        <v>152</v>
      </c>
      <c r="E155" s="13"/>
      <c r="F155" s="14" t="str">
        <f aca="false">IF(E155="","",IF(E155&gt;0,$B$7/E155^2,"invalid"))</f>
        <v/>
      </c>
    </row>
    <row r="156" customFormat="false" ht="15" hidden="false" customHeight="false" outlineLevel="0" collapsed="false">
      <c r="D156" s="12" t="n">
        <v>153</v>
      </c>
      <c r="E156" s="13"/>
      <c r="F156" s="14" t="str">
        <f aca="false">IF(E156="","",IF(E156&gt;0,$B$7/E156^2,"invalid"))</f>
        <v/>
      </c>
    </row>
    <row r="157" customFormat="false" ht="15" hidden="false" customHeight="false" outlineLevel="0" collapsed="false">
      <c r="D157" s="12" t="n">
        <v>154</v>
      </c>
      <c r="E157" s="13"/>
      <c r="F157" s="14" t="str">
        <f aca="false">IF(E157="","",IF(E157&gt;0,$B$7/E157^2,"invalid"))</f>
        <v/>
      </c>
    </row>
    <row r="158" customFormat="false" ht="15" hidden="false" customHeight="false" outlineLevel="0" collapsed="false">
      <c r="D158" s="12" t="n">
        <v>155</v>
      </c>
      <c r="E158" s="13"/>
      <c r="F158" s="14" t="str">
        <f aca="false">IF(E158="","",IF(E158&gt;0,$B$7/E158^2,"invalid"))</f>
        <v/>
      </c>
    </row>
    <row r="159" customFormat="false" ht="15" hidden="false" customHeight="false" outlineLevel="0" collapsed="false">
      <c r="D159" s="12" t="n">
        <v>156</v>
      </c>
      <c r="E159" s="13"/>
      <c r="F159" s="14" t="str">
        <f aca="false">IF(E159="","",IF(E159&gt;0,$B$7/E159^2,"invalid"))</f>
        <v/>
      </c>
    </row>
    <row r="160" customFormat="false" ht="15" hidden="false" customHeight="false" outlineLevel="0" collapsed="false">
      <c r="D160" s="12" t="n">
        <v>157</v>
      </c>
      <c r="E160" s="13"/>
      <c r="F160" s="14" t="str">
        <f aca="false">IF(E160="","",IF(E160&gt;0,$B$7/E160^2,"invalid"))</f>
        <v/>
      </c>
    </row>
    <row r="161" customFormat="false" ht="15" hidden="false" customHeight="false" outlineLevel="0" collapsed="false">
      <c r="D161" s="12" t="n">
        <v>158</v>
      </c>
      <c r="E161" s="13"/>
      <c r="F161" s="14" t="str">
        <f aca="false">IF(E161="","",IF(E161&gt;0,$B$7/E161^2,"invalid"))</f>
        <v/>
      </c>
    </row>
    <row r="162" customFormat="false" ht="15" hidden="false" customHeight="false" outlineLevel="0" collapsed="false">
      <c r="D162" s="12" t="n">
        <v>159</v>
      </c>
      <c r="E162" s="13"/>
      <c r="F162" s="14" t="str">
        <f aca="false">IF(E162="","",IF(E162&gt;0,$B$7/E162^2,"invalid"))</f>
        <v/>
      </c>
    </row>
    <row r="163" customFormat="false" ht="15" hidden="false" customHeight="false" outlineLevel="0" collapsed="false">
      <c r="D163" s="12" t="n">
        <v>160</v>
      </c>
      <c r="E163" s="13"/>
      <c r="F163" s="14" t="str">
        <f aca="false">IF(E163="","",IF(E163&gt;0,$B$7/E163^2,"invalid"))</f>
        <v/>
      </c>
    </row>
    <row r="164" customFormat="false" ht="15" hidden="false" customHeight="false" outlineLevel="0" collapsed="false">
      <c r="D164" s="12" t="n">
        <v>161</v>
      </c>
      <c r="E164" s="13"/>
      <c r="F164" s="14" t="str">
        <f aca="false">IF(E164="","",IF(E164&gt;0,$B$7/E164^2,"invalid"))</f>
        <v/>
      </c>
    </row>
    <row r="165" customFormat="false" ht="15" hidden="false" customHeight="false" outlineLevel="0" collapsed="false">
      <c r="D165" s="12" t="n">
        <v>162</v>
      </c>
      <c r="E165" s="13"/>
      <c r="F165" s="14" t="str">
        <f aca="false">IF(E165="","",IF(E165&gt;0,$B$7/E165^2,"invalid"))</f>
        <v/>
      </c>
    </row>
    <row r="166" customFormat="false" ht="15" hidden="false" customHeight="false" outlineLevel="0" collapsed="false">
      <c r="D166" s="12" t="n">
        <v>163</v>
      </c>
      <c r="E166" s="13"/>
      <c r="F166" s="14" t="str">
        <f aca="false">IF(E166="","",IF(E166&gt;0,$B$7/E166^2,"invalid"))</f>
        <v/>
      </c>
    </row>
    <row r="167" customFormat="false" ht="15" hidden="false" customHeight="false" outlineLevel="0" collapsed="false">
      <c r="D167" s="12" t="n">
        <v>164</v>
      </c>
      <c r="E167" s="13"/>
      <c r="F167" s="14" t="str">
        <f aca="false">IF(E167="","",IF(E167&gt;0,$B$7/E167^2,"invalid"))</f>
        <v/>
      </c>
    </row>
    <row r="168" customFormat="false" ht="15" hidden="false" customHeight="false" outlineLevel="0" collapsed="false">
      <c r="D168" s="12" t="n">
        <v>165</v>
      </c>
      <c r="E168" s="13"/>
      <c r="F168" s="14" t="str">
        <f aca="false">IF(E168="","",IF(E168&gt;0,$B$7/E168^2,"invalid"))</f>
        <v/>
      </c>
    </row>
    <row r="169" customFormat="false" ht="15" hidden="false" customHeight="false" outlineLevel="0" collapsed="false">
      <c r="D169" s="12" t="n">
        <v>166</v>
      </c>
      <c r="E169" s="13"/>
      <c r="F169" s="14" t="str">
        <f aca="false">IF(E169="","",IF(E169&gt;0,$B$7/E169^2,"invalid"))</f>
        <v/>
      </c>
    </row>
    <row r="170" customFormat="false" ht="15" hidden="false" customHeight="false" outlineLevel="0" collapsed="false">
      <c r="D170" s="12" t="n">
        <v>167</v>
      </c>
      <c r="E170" s="13"/>
      <c r="F170" s="14" t="str">
        <f aca="false">IF(E170="","",IF(E170&gt;0,$B$7/E170^2,"invalid"))</f>
        <v/>
      </c>
    </row>
    <row r="171" customFormat="false" ht="15" hidden="false" customHeight="false" outlineLevel="0" collapsed="false">
      <c r="D171" s="12" t="n">
        <v>168</v>
      </c>
      <c r="E171" s="13"/>
      <c r="F171" s="14" t="str">
        <f aca="false">IF(E171="","",IF(E171&gt;0,$B$7/E171^2,"invalid"))</f>
        <v/>
      </c>
    </row>
    <row r="172" customFormat="false" ht="15" hidden="false" customHeight="false" outlineLevel="0" collapsed="false">
      <c r="D172" s="12" t="n">
        <v>169</v>
      </c>
      <c r="E172" s="13"/>
      <c r="F172" s="14" t="str">
        <f aca="false">IF(E172="","",IF(E172&gt;0,$B$7/E172^2,"invalid"))</f>
        <v/>
      </c>
    </row>
    <row r="173" customFormat="false" ht="15" hidden="false" customHeight="false" outlineLevel="0" collapsed="false">
      <c r="D173" s="12" t="n">
        <v>170</v>
      </c>
      <c r="E173" s="13"/>
      <c r="F173" s="14" t="str">
        <f aca="false">IF(E173="","",IF(E173&gt;0,$B$7/E173^2,"invalid"))</f>
        <v/>
      </c>
    </row>
    <row r="174" customFormat="false" ht="15" hidden="false" customHeight="false" outlineLevel="0" collapsed="false">
      <c r="D174" s="12" t="n">
        <v>171</v>
      </c>
      <c r="E174" s="13"/>
      <c r="F174" s="14" t="str">
        <f aca="false">IF(E174="","",IF(E174&gt;0,$B$7/E174^2,"invalid"))</f>
        <v/>
      </c>
    </row>
    <row r="175" customFormat="false" ht="15" hidden="false" customHeight="false" outlineLevel="0" collapsed="false">
      <c r="D175" s="12" t="n">
        <v>172</v>
      </c>
      <c r="E175" s="13"/>
      <c r="F175" s="14" t="str">
        <f aca="false">IF(E175="","",IF(E175&gt;0,$B$7/E175^2,"invalid"))</f>
        <v/>
      </c>
    </row>
    <row r="176" customFormat="false" ht="15" hidden="false" customHeight="false" outlineLevel="0" collapsed="false">
      <c r="D176" s="12" t="n">
        <v>173</v>
      </c>
      <c r="E176" s="13"/>
      <c r="F176" s="14" t="str">
        <f aca="false">IF(E176="","",IF(E176&gt;0,$B$7/E176^2,"invalid"))</f>
        <v/>
      </c>
    </row>
    <row r="177" customFormat="false" ht="15" hidden="false" customHeight="false" outlineLevel="0" collapsed="false">
      <c r="D177" s="12" t="n">
        <v>174</v>
      </c>
      <c r="E177" s="13"/>
      <c r="F177" s="14" t="str">
        <f aca="false">IF(E177="","",IF(E177&gt;0,$B$7/E177^2,"invalid"))</f>
        <v/>
      </c>
    </row>
    <row r="178" customFormat="false" ht="15" hidden="false" customHeight="false" outlineLevel="0" collapsed="false">
      <c r="D178" s="12" t="n">
        <v>175</v>
      </c>
      <c r="E178" s="13"/>
      <c r="F178" s="14" t="str">
        <f aca="false">IF(E178="","",IF(E178&gt;0,$B$7/E178^2,"invalid"))</f>
        <v/>
      </c>
    </row>
    <row r="179" customFormat="false" ht="15" hidden="false" customHeight="false" outlineLevel="0" collapsed="false">
      <c r="D179" s="12" t="n">
        <v>176</v>
      </c>
      <c r="E179" s="13"/>
      <c r="F179" s="14" t="str">
        <f aca="false">IF(E179="","",IF(E179&gt;0,$B$7/E179^2,"invalid"))</f>
        <v/>
      </c>
    </row>
    <row r="180" customFormat="false" ht="15" hidden="false" customHeight="false" outlineLevel="0" collapsed="false">
      <c r="D180" s="12" t="n">
        <v>177</v>
      </c>
      <c r="E180" s="13"/>
      <c r="F180" s="14" t="str">
        <f aca="false">IF(E180="","",IF(E180&gt;0,$B$7/E180^2,"invalid"))</f>
        <v/>
      </c>
    </row>
    <row r="181" customFormat="false" ht="15" hidden="false" customHeight="false" outlineLevel="0" collapsed="false">
      <c r="D181" s="12" t="n">
        <v>178</v>
      </c>
      <c r="E181" s="13"/>
      <c r="F181" s="14" t="str">
        <f aca="false">IF(E181="","",IF(E181&gt;0,$B$7/E181^2,"invalid"))</f>
        <v/>
      </c>
    </row>
    <row r="182" customFormat="false" ht="15" hidden="false" customHeight="false" outlineLevel="0" collapsed="false">
      <c r="D182" s="12" t="n">
        <v>179</v>
      </c>
      <c r="E182" s="13"/>
      <c r="F182" s="14" t="str">
        <f aca="false">IF(E182="","",IF(E182&gt;0,$B$7/E182^2,"invalid"))</f>
        <v/>
      </c>
    </row>
    <row r="183" customFormat="false" ht="15" hidden="false" customHeight="false" outlineLevel="0" collapsed="false">
      <c r="D183" s="12" t="n">
        <v>180</v>
      </c>
      <c r="E183" s="13"/>
      <c r="F183" s="14" t="str">
        <f aca="false">IF(E183="","",IF(E183&gt;0,$B$7/E183^2,"invalid"))</f>
        <v/>
      </c>
    </row>
    <row r="184" customFormat="false" ht="15" hidden="false" customHeight="false" outlineLevel="0" collapsed="false">
      <c r="D184" s="12" t="n">
        <v>181</v>
      </c>
      <c r="E184" s="13"/>
      <c r="F184" s="14" t="str">
        <f aca="false">IF(E184="","",IF(E184&gt;0,$B$7/E184^2,"invalid"))</f>
        <v/>
      </c>
    </row>
    <row r="185" customFormat="false" ht="15" hidden="false" customHeight="false" outlineLevel="0" collapsed="false">
      <c r="D185" s="12" t="n">
        <v>182</v>
      </c>
      <c r="E185" s="13"/>
      <c r="F185" s="14" t="str">
        <f aca="false">IF(E185="","",IF(E185&gt;0,$B$7/E185^2,"invalid"))</f>
        <v/>
      </c>
    </row>
    <row r="186" customFormat="false" ht="15" hidden="false" customHeight="false" outlineLevel="0" collapsed="false">
      <c r="D186" s="12" t="n">
        <v>183</v>
      </c>
      <c r="E186" s="13"/>
      <c r="F186" s="14" t="str">
        <f aca="false">IF(E186="","",IF(E186&gt;0,$B$7/E186^2,"invalid"))</f>
        <v/>
      </c>
    </row>
    <row r="187" customFormat="false" ht="15" hidden="false" customHeight="false" outlineLevel="0" collapsed="false">
      <c r="D187" s="12" t="n">
        <v>184</v>
      </c>
      <c r="E187" s="13"/>
      <c r="F187" s="14" t="str">
        <f aca="false">IF(E187="","",IF(E187&gt;0,$B$7/E187^2,"invalid"))</f>
        <v/>
      </c>
    </row>
    <row r="188" customFormat="false" ht="15" hidden="false" customHeight="false" outlineLevel="0" collapsed="false">
      <c r="D188" s="12" t="n">
        <v>185</v>
      </c>
      <c r="E188" s="13"/>
      <c r="F188" s="14" t="str">
        <f aca="false">IF(E188="","",IF(E188&gt;0,$B$7/E188^2,"invalid"))</f>
        <v/>
      </c>
    </row>
    <row r="189" customFormat="false" ht="15" hidden="false" customHeight="false" outlineLevel="0" collapsed="false">
      <c r="D189" s="12" t="n">
        <v>186</v>
      </c>
      <c r="E189" s="13"/>
      <c r="F189" s="14" t="str">
        <f aca="false">IF(E189="","",IF(E189&gt;0,$B$7/E189^2,"invalid"))</f>
        <v/>
      </c>
    </row>
    <row r="190" customFormat="false" ht="15" hidden="false" customHeight="false" outlineLevel="0" collapsed="false">
      <c r="D190" s="12" t="n">
        <v>187</v>
      </c>
      <c r="E190" s="13"/>
      <c r="F190" s="14" t="str">
        <f aca="false">IF(E190="","",IF(E190&gt;0,$B$7/E190^2,"invalid"))</f>
        <v/>
      </c>
    </row>
    <row r="191" customFormat="false" ht="15" hidden="false" customHeight="false" outlineLevel="0" collapsed="false">
      <c r="D191" s="12" t="n">
        <v>188</v>
      </c>
      <c r="E191" s="13"/>
      <c r="F191" s="14" t="str">
        <f aca="false">IF(E191="","",IF(E191&gt;0,$B$7/E191^2,"invalid"))</f>
        <v/>
      </c>
    </row>
    <row r="192" customFormat="false" ht="15" hidden="false" customHeight="false" outlineLevel="0" collapsed="false">
      <c r="D192" s="12" t="n">
        <v>189</v>
      </c>
      <c r="E192" s="13"/>
      <c r="F192" s="14" t="str">
        <f aca="false">IF(E192="","",IF(E192&gt;0,$B$7/E192^2,"invalid"))</f>
        <v/>
      </c>
    </row>
    <row r="193" customFormat="false" ht="15" hidden="false" customHeight="false" outlineLevel="0" collapsed="false">
      <c r="D193" s="12" t="n">
        <v>190</v>
      </c>
      <c r="E193" s="13"/>
      <c r="F193" s="14" t="str">
        <f aca="false">IF(E193="","",IF(E193&gt;0,$B$7/E193^2,"invalid"))</f>
        <v/>
      </c>
    </row>
    <row r="194" customFormat="false" ht="15" hidden="false" customHeight="false" outlineLevel="0" collapsed="false">
      <c r="D194" s="12" t="n">
        <v>191</v>
      </c>
      <c r="E194" s="13"/>
      <c r="F194" s="14" t="str">
        <f aca="false">IF(E194="","",IF(E194&gt;0,$B$7/E194^2,"invalid"))</f>
        <v/>
      </c>
    </row>
    <row r="195" customFormat="false" ht="15" hidden="false" customHeight="false" outlineLevel="0" collapsed="false">
      <c r="D195" s="12" t="n">
        <v>192</v>
      </c>
      <c r="E195" s="13"/>
      <c r="F195" s="14" t="str">
        <f aca="false">IF(E195="","",IF(E195&gt;0,$B$7/E195^2,"invalid"))</f>
        <v/>
      </c>
    </row>
    <row r="196" customFormat="false" ht="15" hidden="false" customHeight="false" outlineLevel="0" collapsed="false">
      <c r="D196" s="12" t="n">
        <v>193</v>
      </c>
      <c r="E196" s="13"/>
      <c r="F196" s="14" t="str">
        <f aca="false">IF(E196="","",IF(E196&gt;0,$B$7/E196^2,"invalid"))</f>
        <v/>
      </c>
    </row>
    <row r="197" customFormat="false" ht="15" hidden="false" customHeight="false" outlineLevel="0" collapsed="false">
      <c r="D197" s="12" t="n">
        <v>194</v>
      </c>
      <c r="E197" s="13"/>
      <c r="F197" s="14" t="str">
        <f aca="false">IF(E197="","",IF(E197&gt;0,$B$7/E197^2,"invalid"))</f>
        <v/>
      </c>
    </row>
    <row r="198" customFormat="false" ht="15" hidden="false" customHeight="false" outlineLevel="0" collapsed="false">
      <c r="D198" s="12" t="n">
        <v>195</v>
      </c>
      <c r="E198" s="13"/>
      <c r="F198" s="14" t="str">
        <f aca="false">IF(E198="","",IF(E198&gt;0,$B$7/E198^2,"invalid"))</f>
        <v/>
      </c>
    </row>
    <row r="199" customFormat="false" ht="15" hidden="false" customHeight="false" outlineLevel="0" collapsed="false">
      <c r="D199" s="12" t="n">
        <v>196</v>
      </c>
      <c r="E199" s="13"/>
      <c r="F199" s="14" t="str">
        <f aca="false">IF(E199="","",IF(E199&gt;0,$B$7/E199^2,"invalid"))</f>
        <v/>
      </c>
    </row>
    <row r="200" customFormat="false" ht="15" hidden="false" customHeight="false" outlineLevel="0" collapsed="false">
      <c r="D200" s="12" t="n">
        <v>197</v>
      </c>
      <c r="E200" s="13"/>
      <c r="F200" s="14" t="str">
        <f aca="false">IF(E200="","",IF(E200&gt;0,$B$7/E200^2,"invalid"))</f>
        <v/>
      </c>
    </row>
    <row r="201" customFormat="false" ht="15" hidden="false" customHeight="false" outlineLevel="0" collapsed="false">
      <c r="D201" s="12" t="n">
        <v>198</v>
      </c>
      <c r="E201" s="13"/>
      <c r="F201" s="14" t="str">
        <f aca="false">IF(E201="","",IF(E201&gt;0,$B$7/E201^2,"invalid"))</f>
        <v/>
      </c>
    </row>
    <row r="202" customFormat="false" ht="15" hidden="false" customHeight="false" outlineLevel="0" collapsed="false">
      <c r="D202" s="12" t="n">
        <v>199</v>
      </c>
      <c r="E202" s="13"/>
      <c r="F202" s="14" t="str">
        <f aca="false">IF(E202="","",IF(E202&gt;0,$B$7/E202^2,"invalid"))</f>
        <v/>
      </c>
    </row>
    <row r="203" customFormat="false" ht="15" hidden="false" customHeight="false" outlineLevel="0" collapsed="false">
      <c r="D203" s="12" t="n">
        <v>200</v>
      </c>
      <c r="E203" s="13"/>
      <c r="F203" s="14" t="str">
        <f aca="false">IF(E203="","",IF(E203&gt;0,$B$7/E203^2,"invalid"))</f>
        <v/>
      </c>
    </row>
    <row r="204" customFormat="false" ht="15" hidden="false" customHeight="false" outlineLevel="0" collapsed="false">
      <c r="D204" s="12" t="n">
        <v>201</v>
      </c>
      <c r="E204" s="13"/>
      <c r="F204" s="14" t="str">
        <f aca="false">IF(E204="","",IF(E204&gt;0,$B$7/E204^2,"invalid"))</f>
        <v/>
      </c>
    </row>
    <row r="205" customFormat="false" ht="15" hidden="false" customHeight="false" outlineLevel="0" collapsed="false">
      <c r="D205" s="12" t="n">
        <v>202</v>
      </c>
      <c r="E205" s="13"/>
      <c r="F205" s="14" t="str">
        <f aca="false">IF(E205="","",IF(E205&gt;0,$B$7/E205^2,"invalid"))</f>
        <v/>
      </c>
    </row>
    <row r="206" customFormat="false" ht="15" hidden="false" customHeight="false" outlineLevel="0" collapsed="false">
      <c r="D206" s="12" t="n">
        <v>203</v>
      </c>
      <c r="E206" s="13"/>
      <c r="F206" s="14" t="str">
        <f aca="false">IF(E206="","",IF(E206&gt;0,$B$7/E206^2,"invalid"))</f>
        <v/>
      </c>
    </row>
    <row r="207" customFormat="false" ht="15" hidden="false" customHeight="false" outlineLevel="0" collapsed="false">
      <c r="D207" s="12" t="n">
        <v>204</v>
      </c>
      <c r="E207" s="13"/>
      <c r="F207" s="14" t="str">
        <f aca="false">IF(E207="","",IF(E207&gt;0,$B$7/E207^2,"invalid"))</f>
        <v/>
      </c>
    </row>
    <row r="208" customFormat="false" ht="15" hidden="false" customHeight="false" outlineLevel="0" collapsed="false">
      <c r="D208" s="12" t="n">
        <v>205</v>
      </c>
      <c r="E208" s="13"/>
      <c r="F208" s="14" t="str">
        <f aca="false">IF(E208="","",IF(E208&gt;0,$B$7/E208^2,"invalid"))</f>
        <v/>
      </c>
    </row>
    <row r="209" customFormat="false" ht="15" hidden="false" customHeight="false" outlineLevel="0" collapsed="false">
      <c r="D209" s="12" t="n">
        <v>206</v>
      </c>
      <c r="E209" s="13"/>
      <c r="F209" s="14" t="str">
        <f aca="false">IF(E209="","",IF(E209&gt;0,$B$7/E209^2,"invalid"))</f>
        <v/>
      </c>
    </row>
    <row r="210" customFormat="false" ht="15" hidden="false" customHeight="false" outlineLevel="0" collapsed="false">
      <c r="D210" s="12" t="n">
        <v>207</v>
      </c>
      <c r="E210" s="13"/>
      <c r="F210" s="14" t="str">
        <f aca="false">IF(E210="","",IF(E210&gt;0,$B$7/E210^2,"invalid"))</f>
        <v/>
      </c>
    </row>
    <row r="211" customFormat="false" ht="15" hidden="false" customHeight="false" outlineLevel="0" collapsed="false">
      <c r="D211" s="12" t="n">
        <v>208</v>
      </c>
      <c r="E211" s="13"/>
      <c r="F211" s="14" t="str">
        <f aca="false">IF(E211="","",IF(E211&gt;0,$B$7/E211^2,"invalid"))</f>
        <v/>
      </c>
    </row>
    <row r="212" customFormat="false" ht="15" hidden="false" customHeight="false" outlineLevel="0" collapsed="false">
      <c r="D212" s="12" t="n">
        <v>209</v>
      </c>
      <c r="E212" s="13"/>
      <c r="F212" s="14" t="str">
        <f aca="false">IF(E212="","",IF(E212&gt;0,$B$7/E212^2,"invalid"))</f>
        <v/>
      </c>
    </row>
    <row r="213" customFormat="false" ht="15" hidden="false" customHeight="false" outlineLevel="0" collapsed="false">
      <c r="D213" s="12" t="n">
        <v>210</v>
      </c>
      <c r="E213" s="13"/>
      <c r="F213" s="14" t="str">
        <f aca="false">IF(E213="","",IF(E213&gt;0,$B$7/E213^2,"invalid"))</f>
        <v/>
      </c>
    </row>
    <row r="214" customFormat="false" ht="15" hidden="false" customHeight="false" outlineLevel="0" collapsed="false">
      <c r="D214" s="12" t="n">
        <v>211</v>
      </c>
      <c r="E214" s="13"/>
      <c r="F214" s="14" t="str">
        <f aca="false">IF(E214="","",IF(E214&gt;0,$B$7/E214^2,"invalid"))</f>
        <v/>
      </c>
    </row>
    <row r="215" customFormat="false" ht="15" hidden="false" customHeight="false" outlineLevel="0" collapsed="false">
      <c r="D215" s="12" t="n">
        <v>212</v>
      </c>
      <c r="E215" s="13"/>
      <c r="F215" s="14" t="str">
        <f aca="false">IF(E215="","",IF(E215&gt;0,$B$7/E215^2,"invalid"))</f>
        <v/>
      </c>
    </row>
    <row r="216" customFormat="false" ht="15" hidden="false" customHeight="false" outlineLevel="0" collapsed="false">
      <c r="D216" s="12" t="n">
        <v>213</v>
      </c>
      <c r="E216" s="13"/>
      <c r="F216" s="14" t="str">
        <f aca="false">IF(E216="","",IF(E216&gt;0,$B$7/E216^2,"invalid"))</f>
        <v/>
      </c>
    </row>
    <row r="217" customFormat="false" ht="15" hidden="false" customHeight="false" outlineLevel="0" collapsed="false">
      <c r="D217" s="12" t="n">
        <v>214</v>
      </c>
      <c r="E217" s="13"/>
      <c r="F217" s="14" t="str">
        <f aca="false">IF(E217="","",IF(E217&gt;0,$B$7/E217^2,"invalid"))</f>
        <v/>
      </c>
    </row>
    <row r="218" customFormat="false" ht="15" hidden="false" customHeight="false" outlineLevel="0" collapsed="false">
      <c r="D218" s="12" t="n">
        <v>215</v>
      </c>
      <c r="E218" s="13"/>
      <c r="F218" s="14" t="str">
        <f aca="false">IF(E218="","",IF(E218&gt;0,$B$7/E218^2,"invalid"))</f>
        <v/>
      </c>
    </row>
    <row r="219" customFormat="false" ht="15" hidden="false" customHeight="false" outlineLevel="0" collapsed="false">
      <c r="D219" s="12" t="n">
        <v>216</v>
      </c>
      <c r="E219" s="13"/>
      <c r="F219" s="14" t="str">
        <f aca="false">IF(E219="","",IF(E219&gt;0,$B$7/E219^2,"invalid"))</f>
        <v/>
      </c>
    </row>
    <row r="220" customFormat="false" ht="15" hidden="false" customHeight="false" outlineLevel="0" collapsed="false">
      <c r="D220" s="12" t="n">
        <v>217</v>
      </c>
      <c r="E220" s="13"/>
      <c r="F220" s="14" t="str">
        <f aca="false">IF(E220="","",IF(E220&gt;0,$B$7/E220^2,"invalid"))</f>
        <v/>
      </c>
    </row>
    <row r="221" customFormat="false" ht="15" hidden="false" customHeight="false" outlineLevel="0" collapsed="false">
      <c r="D221" s="12" t="n">
        <v>218</v>
      </c>
      <c r="E221" s="13"/>
      <c r="F221" s="14" t="str">
        <f aca="false">IF(E221="","",IF(E221&gt;0,$B$7/E221^2,"invalid"))</f>
        <v/>
      </c>
    </row>
    <row r="222" customFormat="false" ht="15" hidden="false" customHeight="false" outlineLevel="0" collapsed="false">
      <c r="D222" s="12" t="n">
        <v>219</v>
      </c>
      <c r="E222" s="13"/>
      <c r="F222" s="14" t="str">
        <f aca="false">IF(E222="","",IF(E222&gt;0,$B$7/E222^2,"invalid"))</f>
        <v/>
      </c>
    </row>
    <row r="223" customFormat="false" ht="15" hidden="false" customHeight="false" outlineLevel="0" collapsed="false">
      <c r="D223" s="12" t="n">
        <v>220</v>
      </c>
      <c r="E223" s="13"/>
      <c r="F223" s="14" t="str">
        <f aca="false">IF(E223="","",IF(E223&gt;0,$B$7/E223^2,"invalid"))</f>
        <v/>
      </c>
    </row>
    <row r="224" customFormat="false" ht="15" hidden="false" customHeight="false" outlineLevel="0" collapsed="false">
      <c r="D224" s="12" t="n">
        <v>221</v>
      </c>
      <c r="E224" s="13"/>
      <c r="F224" s="14" t="str">
        <f aca="false">IF(E224="","",IF(E224&gt;0,$B$7/E224^2,"invalid"))</f>
        <v/>
      </c>
    </row>
    <row r="225" customFormat="false" ht="15" hidden="false" customHeight="false" outlineLevel="0" collapsed="false">
      <c r="D225" s="12" t="n">
        <v>222</v>
      </c>
      <c r="E225" s="13"/>
      <c r="F225" s="14" t="str">
        <f aca="false">IF(E225="","",IF(E225&gt;0,$B$7/E225^2,"invalid"))</f>
        <v/>
      </c>
    </row>
    <row r="226" customFormat="false" ht="15" hidden="false" customHeight="false" outlineLevel="0" collapsed="false">
      <c r="D226" s="12" t="n">
        <v>223</v>
      </c>
      <c r="E226" s="13"/>
      <c r="F226" s="14" t="str">
        <f aca="false">IF(E226="","",IF(E226&gt;0,$B$7/E226^2,"invalid"))</f>
        <v/>
      </c>
    </row>
    <row r="227" customFormat="false" ht="15" hidden="false" customHeight="false" outlineLevel="0" collapsed="false">
      <c r="D227" s="12" t="n">
        <v>224</v>
      </c>
      <c r="E227" s="13"/>
      <c r="F227" s="14" t="str">
        <f aca="false">IF(E227="","",IF(E227&gt;0,$B$7/E227^2,"invalid"))</f>
        <v/>
      </c>
    </row>
    <row r="228" customFormat="false" ht="15" hidden="false" customHeight="false" outlineLevel="0" collapsed="false">
      <c r="D228" s="12" t="n">
        <v>225</v>
      </c>
      <c r="E228" s="13"/>
      <c r="F228" s="14" t="str">
        <f aca="false">IF(E228="","",IF(E228&gt;0,$B$7/E228^2,"invalid"))</f>
        <v/>
      </c>
    </row>
    <row r="229" customFormat="false" ht="15" hidden="false" customHeight="false" outlineLevel="0" collapsed="false">
      <c r="D229" s="12" t="n">
        <v>226</v>
      </c>
      <c r="E229" s="13"/>
      <c r="F229" s="14" t="str">
        <f aca="false">IF(E229="","",IF(E229&gt;0,$B$7/E229^2,"invalid"))</f>
        <v/>
      </c>
    </row>
    <row r="230" customFormat="false" ht="15" hidden="false" customHeight="false" outlineLevel="0" collapsed="false">
      <c r="D230" s="12" t="n">
        <v>227</v>
      </c>
      <c r="E230" s="13"/>
      <c r="F230" s="14" t="str">
        <f aca="false">IF(E230="","",IF(E230&gt;0,$B$7/E230^2,"invalid"))</f>
        <v/>
      </c>
    </row>
    <row r="231" customFormat="false" ht="15" hidden="false" customHeight="false" outlineLevel="0" collapsed="false">
      <c r="D231" s="12" t="n">
        <v>228</v>
      </c>
      <c r="E231" s="13"/>
      <c r="F231" s="14" t="str">
        <f aca="false">IF(E231="","",IF(E231&gt;0,$B$7/E231^2,"invalid"))</f>
        <v/>
      </c>
    </row>
    <row r="232" customFormat="false" ht="15" hidden="false" customHeight="false" outlineLevel="0" collapsed="false">
      <c r="D232" s="12" t="n">
        <v>229</v>
      </c>
      <c r="E232" s="13"/>
      <c r="F232" s="14" t="str">
        <f aca="false">IF(E232="","",IF(E232&gt;0,$B$7/E232^2,"invalid"))</f>
        <v/>
      </c>
    </row>
    <row r="233" customFormat="false" ht="15" hidden="false" customHeight="false" outlineLevel="0" collapsed="false">
      <c r="D233" s="12" t="n">
        <v>230</v>
      </c>
      <c r="E233" s="13"/>
      <c r="F233" s="14" t="str">
        <f aca="false">IF(E233="","",IF(E233&gt;0,$B$7/E233^2,"invalid"))</f>
        <v/>
      </c>
    </row>
    <row r="234" customFormat="false" ht="15" hidden="false" customHeight="false" outlineLevel="0" collapsed="false">
      <c r="D234" s="12" t="n">
        <v>231</v>
      </c>
      <c r="E234" s="13"/>
      <c r="F234" s="14" t="str">
        <f aca="false">IF(E234="","",IF(E234&gt;0,$B$7/E234^2,"invalid"))</f>
        <v/>
      </c>
    </row>
    <row r="235" customFormat="false" ht="15" hidden="false" customHeight="false" outlineLevel="0" collapsed="false">
      <c r="D235" s="12" t="n">
        <v>232</v>
      </c>
      <c r="E235" s="13"/>
      <c r="F235" s="14" t="str">
        <f aca="false">IF(E235="","",IF(E235&gt;0,$B$7/E235^2,"invalid"))</f>
        <v/>
      </c>
    </row>
    <row r="236" customFormat="false" ht="15" hidden="false" customHeight="false" outlineLevel="0" collapsed="false">
      <c r="D236" s="12" t="n">
        <v>233</v>
      </c>
      <c r="E236" s="13"/>
      <c r="F236" s="14" t="str">
        <f aca="false">IF(E236="","",IF(E236&gt;0,$B$7/E236^2,"invalid"))</f>
        <v/>
      </c>
    </row>
    <row r="237" customFormat="false" ht="15" hidden="false" customHeight="false" outlineLevel="0" collapsed="false">
      <c r="D237" s="12" t="n">
        <v>234</v>
      </c>
      <c r="E237" s="13"/>
      <c r="F237" s="14" t="str">
        <f aca="false">IF(E237="","",IF(E237&gt;0,$B$7/E237^2,"invalid"))</f>
        <v/>
      </c>
    </row>
    <row r="238" customFormat="false" ht="15" hidden="false" customHeight="false" outlineLevel="0" collapsed="false">
      <c r="D238" s="12" t="n">
        <v>235</v>
      </c>
      <c r="E238" s="13"/>
      <c r="F238" s="14" t="str">
        <f aca="false">IF(E238="","",IF(E238&gt;0,$B$7/E238^2,"invalid"))</f>
        <v/>
      </c>
    </row>
    <row r="239" customFormat="false" ht="15" hidden="false" customHeight="false" outlineLevel="0" collapsed="false">
      <c r="D239" s="12" t="n">
        <v>236</v>
      </c>
      <c r="E239" s="13"/>
      <c r="F239" s="14" t="str">
        <f aca="false">IF(E239="","",IF(E239&gt;0,$B$7/E239^2,"invalid"))</f>
        <v/>
      </c>
    </row>
    <row r="240" customFormat="false" ht="15" hidden="false" customHeight="false" outlineLevel="0" collapsed="false">
      <c r="D240" s="12" t="n">
        <v>237</v>
      </c>
      <c r="E240" s="13"/>
      <c r="F240" s="14" t="str">
        <f aca="false">IF(E240="","",IF(E240&gt;0,$B$7/E240^2,"invalid"))</f>
        <v/>
      </c>
    </row>
    <row r="241" customFormat="false" ht="15" hidden="false" customHeight="false" outlineLevel="0" collapsed="false">
      <c r="D241" s="12" t="n">
        <v>238</v>
      </c>
      <c r="E241" s="13"/>
      <c r="F241" s="14" t="str">
        <f aca="false">IF(E241="","",IF(E241&gt;0,$B$7/E241^2,"invalid"))</f>
        <v/>
      </c>
    </row>
    <row r="242" customFormat="false" ht="15" hidden="false" customHeight="false" outlineLevel="0" collapsed="false">
      <c r="D242" s="12" t="n">
        <v>239</v>
      </c>
      <c r="E242" s="13"/>
      <c r="F242" s="14" t="str">
        <f aca="false">IF(E242="","",IF(E242&gt;0,$B$7/E242^2,"invalid"))</f>
        <v/>
      </c>
    </row>
    <row r="243" customFormat="false" ht="15" hidden="false" customHeight="false" outlineLevel="0" collapsed="false">
      <c r="D243" s="12" t="n">
        <v>240</v>
      </c>
      <c r="E243" s="13"/>
      <c r="F243" s="14" t="str">
        <f aca="false">IF(E243="","",IF(E243&gt;0,$B$7/E243^2,"invalid"))</f>
        <v/>
      </c>
    </row>
    <row r="244" customFormat="false" ht="15" hidden="false" customHeight="false" outlineLevel="0" collapsed="false">
      <c r="D244" s="12" t="n">
        <v>241</v>
      </c>
      <c r="E244" s="13"/>
      <c r="F244" s="14" t="str">
        <f aca="false">IF(E244="","",IF(E244&gt;0,$B$7/E244^2,"invalid"))</f>
        <v/>
      </c>
    </row>
    <row r="245" customFormat="false" ht="15" hidden="false" customHeight="false" outlineLevel="0" collapsed="false">
      <c r="D245" s="12" t="n">
        <v>242</v>
      </c>
      <c r="E245" s="13"/>
      <c r="F245" s="14" t="str">
        <f aca="false">IF(E245="","",IF(E245&gt;0,$B$7/E245^2,"invalid"))</f>
        <v/>
      </c>
    </row>
    <row r="246" customFormat="false" ht="15" hidden="false" customHeight="false" outlineLevel="0" collapsed="false">
      <c r="D246" s="12" t="n">
        <v>243</v>
      </c>
      <c r="E246" s="13"/>
      <c r="F246" s="14" t="str">
        <f aca="false">IF(E246="","",IF(E246&gt;0,$B$7/E246^2,"invalid"))</f>
        <v/>
      </c>
    </row>
    <row r="247" customFormat="false" ht="15" hidden="false" customHeight="false" outlineLevel="0" collapsed="false">
      <c r="D247" s="12" t="n">
        <v>244</v>
      </c>
      <c r="E247" s="13"/>
      <c r="F247" s="14" t="str">
        <f aca="false">IF(E247="","",IF(E247&gt;0,$B$7/E247^2,"invalid"))</f>
        <v/>
      </c>
    </row>
    <row r="248" customFormat="false" ht="15" hidden="false" customHeight="false" outlineLevel="0" collapsed="false">
      <c r="D248" s="12" t="n">
        <v>245</v>
      </c>
      <c r="E248" s="13"/>
      <c r="F248" s="14" t="str">
        <f aca="false">IF(E248="","",IF(E248&gt;0,$B$7/E248^2,"invalid"))</f>
        <v/>
      </c>
    </row>
    <row r="249" customFormat="false" ht="15" hidden="false" customHeight="false" outlineLevel="0" collapsed="false">
      <c r="D249" s="12" t="n">
        <v>246</v>
      </c>
      <c r="E249" s="13"/>
      <c r="F249" s="14" t="str">
        <f aca="false">IF(E249="","",IF(E249&gt;0,$B$7/E249^2,"invalid"))</f>
        <v/>
      </c>
    </row>
    <row r="250" customFormat="false" ht="15" hidden="false" customHeight="false" outlineLevel="0" collapsed="false">
      <c r="D250" s="12" t="n">
        <v>247</v>
      </c>
      <c r="E250" s="13"/>
      <c r="F250" s="14" t="str">
        <f aca="false">IF(E250="","",IF(E250&gt;0,$B$7/E250^2,"invalid"))</f>
        <v/>
      </c>
    </row>
    <row r="251" customFormat="false" ht="15" hidden="false" customHeight="false" outlineLevel="0" collapsed="false">
      <c r="D251" s="12" t="n">
        <v>248</v>
      </c>
      <c r="E251" s="13"/>
      <c r="F251" s="14" t="str">
        <f aca="false">IF(E251="","",IF(E251&gt;0,$B$7/E251^2,"invalid"))</f>
        <v/>
      </c>
    </row>
    <row r="252" customFormat="false" ht="15" hidden="false" customHeight="false" outlineLevel="0" collapsed="false">
      <c r="D252" s="12" t="n">
        <v>249</v>
      </c>
      <c r="E252" s="13"/>
      <c r="F252" s="14" t="str">
        <f aca="false">IF(E252="","",IF(E252&gt;0,$B$7/E252^2,"invalid"))</f>
        <v/>
      </c>
    </row>
    <row r="253" customFormat="false" ht="15" hidden="false" customHeight="false" outlineLevel="0" collapsed="false">
      <c r="D253" s="12" t="n">
        <v>250</v>
      </c>
      <c r="E253" s="13"/>
      <c r="F253" s="14" t="str">
        <f aca="false">IF(E253="","",IF(E253&gt;0,$B$7/E253^2,"invalid"))</f>
        <v/>
      </c>
    </row>
    <row r="254" customFormat="false" ht="15" hidden="false" customHeight="false" outlineLevel="0" collapsed="false">
      <c r="D254" s="12" t="n">
        <v>251</v>
      </c>
      <c r="E254" s="13"/>
      <c r="F254" s="14" t="str">
        <f aca="false">IF(E254="","",IF(E254&gt;0,$B$7/E254^2,"invalid"))</f>
        <v/>
      </c>
    </row>
    <row r="255" customFormat="false" ht="15" hidden="false" customHeight="false" outlineLevel="0" collapsed="false">
      <c r="D255" s="12" t="n">
        <v>252</v>
      </c>
      <c r="E255" s="13"/>
      <c r="F255" s="14" t="str">
        <f aca="false">IF(E255="","",IF(E255&gt;0,$B$7/E255^2,"invalid"))</f>
        <v/>
      </c>
    </row>
    <row r="256" customFormat="false" ht="15" hidden="false" customHeight="false" outlineLevel="0" collapsed="false">
      <c r="D256" s="12" t="n">
        <v>253</v>
      </c>
      <c r="E256" s="13"/>
      <c r="F256" s="14" t="str">
        <f aca="false">IF(E256="","",IF(E256&gt;0,$B$7/E256^2,"invalid"))</f>
        <v/>
      </c>
    </row>
    <row r="257" customFormat="false" ht="15" hidden="false" customHeight="false" outlineLevel="0" collapsed="false">
      <c r="D257" s="12" t="n">
        <v>254</v>
      </c>
      <c r="E257" s="13"/>
      <c r="F257" s="14" t="str">
        <f aca="false">IF(E257="","",IF(E257&gt;0,$B$7/E257^2,"invalid"))</f>
        <v/>
      </c>
    </row>
    <row r="258" customFormat="false" ht="15" hidden="false" customHeight="false" outlineLevel="0" collapsed="false">
      <c r="D258" s="12" t="n">
        <v>255</v>
      </c>
      <c r="E258" s="13"/>
      <c r="F258" s="14" t="str">
        <f aca="false">IF(E258="","",IF(E258&gt;0,$B$7/E258^2,"invalid"))</f>
        <v/>
      </c>
    </row>
    <row r="259" customFormat="false" ht="15" hidden="false" customHeight="false" outlineLevel="0" collapsed="false">
      <c r="D259" s="12" t="n">
        <v>256</v>
      </c>
      <c r="E259" s="13"/>
      <c r="F259" s="14" t="str">
        <f aca="false">IF(E259="","",IF(E259&gt;0,$B$7/E259^2,"invalid"))</f>
        <v/>
      </c>
    </row>
    <row r="260" customFormat="false" ht="15" hidden="false" customHeight="false" outlineLevel="0" collapsed="false">
      <c r="D260" s="12" t="n">
        <v>257</v>
      </c>
      <c r="E260" s="13"/>
      <c r="F260" s="14" t="str">
        <f aca="false">IF(E260="","",IF(E260&gt;0,$B$7/E260^2,"invalid"))</f>
        <v/>
      </c>
    </row>
    <row r="261" customFormat="false" ht="15" hidden="false" customHeight="false" outlineLevel="0" collapsed="false">
      <c r="D261" s="12" t="n">
        <v>258</v>
      </c>
      <c r="E261" s="13"/>
      <c r="F261" s="14" t="str">
        <f aca="false">IF(E261="","",IF(E261&gt;0,$B$7/E261^2,"invalid"))</f>
        <v/>
      </c>
    </row>
    <row r="262" customFormat="false" ht="15" hidden="false" customHeight="false" outlineLevel="0" collapsed="false">
      <c r="D262" s="12" t="n">
        <v>259</v>
      </c>
      <c r="E262" s="13"/>
      <c r="F262" s="14" t="str">
        <f aca="false">IF(E262="","",IF(E262&gt;0,$B$7/E262^2,"invalid"))</f>
        <v/>
      </c>
    </row>
    <row r="263" customFormat="false" ht="15" hidden="false" customHeight="false" outlineLevel="0" collapsed="false">
      <c r="D263" s="12" t="n">
        <v>260</v>
      </c>
      <c r="E263" s="13"/>
      <c r="F263" s="14" t="str">
        <f aca="false">IF(E263="","",IF(E263&gt;0,$B$7/E263^2,"invalid"))</f>
        <v/>
      </c>
    </row>
    <row r="264" customFormat="false" ht="15" hidden="false" customHeight="false" outlineLevel="0" collapsed="false">
      <c r="D264" s="12" t="n">
        <v>261</v>
      </c>
      <c r="E264" s="13"/>
      <c r="F264" s="14" t="str">
        <f aca="false">IF(E264="","",IF(E264&gt;0,$B$7/E264^2,"invalid"))</f>
        <v/>
      </c>
    </row>
    <row r="265" customFormat="false" ht="15" hidden="false" customHeight="false" outlineLevel="0" collapsed="false">
      <c r="D265" s="12" t="n">
        <v>262</v>
      </c>
      <c r="E265" s="13"/>
      <c r="F265" s="14" t="str">
        <f aca="false">IF(E265="","",IF(E265&gt;0,$B$7/E265^2,"invalid"))</f>
        <v/>
      </c>
    </row>
    <row r="266" customFormat="false" ht="15" hidden="false" customHeight="false" outlineLevel="0" collapsed="false">
      <c r="D266" s="12" t="n">
        <v>263</v>
      </c>
      <c r="E266" s="13"/>
      <c r="F266" s="14" t="str">
        <f aca="false">IF(E266="","",IF(E266&gt;0,$B$7/E266^2,"invalid"))</f>
        <v/>
      </c>
    </row>
    <row r="267" customFormat="false" ht="15" hidden="false" customHeight="false" outlineLevel="0" collapsed="false">
      <c r="D267" s="12" t="n">
        <v>264</v>
      </c>
      <c r="E267" s="13"/>
      <c r="F267" s="14" t="str">
        <f aca="false">IF(E267="","",IF(E267&gt;0,$B$7/E267^2,"invalid"))</f>
        <v/>
      </c>
    </row>
    <row r="268" customFormat="false" ht="15" hidden="false" customHeight="false" outlineLevel="0" collapsed="false">
      <c r="D268" s="12" t="n">
        <v>265</v>
      </c>
      <c r="E268" s="13"/>
      <c r="F268" s="14" t="str">
        <f aca="false">IF(E268="","",IF(E268&gt;0,$B$7/E268^2,"invalid"))</f>
        <v/>
      </c>
    </row>
    <row r="269" customFormat="false" ht="15" hidden="false" customHeight="false" outlineLevel="0" collapsed="false">
      <c r="D269" s="12" t="n">
        <v>266</v>
      </c>
      <c r="E269" s="13"/>
      <c r="F269" s="14" t="str">
        <f aca="false">IF(E269="","",IF(E269&gt;0,$B$7/E269^2,"invalid"))</f>
        <v/>
      </c>
    </row>
    <row r="270" customFormat="false" ht="15" hidden="false" customHeight="false" outlineLevel="0" collapsed="false">
      <c r="D270" s="12" t="n">
        <v>267</v>
      </c>
      <c r="E270" s="13"/>
      <c r="F270" s="14" t="str">
        <f aca="false">IF(E270="","",IF(E270&gt;0,$B$7/E270^2,"invalid"))</f>
        <v/>
      </c>
    </row>
    <row r="271" customFormat="false" ht="15" hidden="false" customHeight="false" outlineLevel="0" collapsed="false">
      <c r="D271" s="12" t="n">
        <v>268</v>
      </c>
      <c r="E271" s="13"/>
      <c r="F271" s="14" t="str">
        <f aca="false">IF(E271="","",IF(E271&gt;0,$B$7/E271^2,"invalid"))</f>
        <v/>
      </c>
    </row>
    <row r="272" customFormat="false" ht="15" hidden="false" customHeight="false" outlineLevel="0" collapsed="false">
      <c r="D272" s="12" t="n">
        <v>269</v>
      </c>
      <c r="E272" s="13"/>
      <c r="F272" s="14" t="str">
        <f aca="false">IF(E272="","",IF(E272&gt;0,$B$7/E272^2,"invalid"))</f>
        <v/>
      </c>
    </row>
    <row r="273" customFormat="false" ht="15" hidden="false" customHeight="false" outlineLevel="0" collapsed="false">
      <c r="D273" s="12" t="n">
        <v>270</v>
      </c>
      <c r="E273" s="13"/>
      <c r="F273" s="14" t="str">
        <f aca="false">IF(E273="","",IF(E273&gt;0,$B$7/E273^2,"invalid"))</f>
        <v/>
      </c>
    </row>
    <row r="274" customFormat="false" ht="15" hidden="false" customHeight="false" outlineLevel="0" collapsed="false">
      <c r="D274" s="12" t="n">
        <v>271</v>
      </c>
      <c r="E274" s="13"/>
      <c r="F274" s="14" t="str">
        <f aca="false">IF(E274="","",IF(E274&gt;0,$B$7/E274^2,"invalid"))</f>
        <v/>
      </c>
    </row>
    <row r="275" customFormat="false" ht="15" hidden="false" customHeight="false" outlineLevel="0" collapsed="false">
      <c r="D275" s="12" t="n">
        <v>272</v>
      </c>
      <c r="E275" s="13"/>
      <c r="F275" s="14" t="str">
        <f aca="false">IF(E275="","",IF(E275&gt;0,$B$7/E275^2,"invalid"))</f>
        <v/>
      </c>
    </row>
    <row r="276" customFormat="false" ht="15" hidden="false" customHeight="false" outlineLevel="0" collapsed="false">
      <c r="D276" s="12" t="n">
        <v>273</v>
      </c>
      <c r="E276" s="13"/>
      <c r="F276" s="14" t="str">
        <f aca="false">IF(E276="","",IF(E276&gt;0,$B$7/E276^2,"invalid"))</f>
        <v/>
      </c>
    </row>
    <row r="277" customFormat="false" ht="15" hidden="false" customHeight="false" outlineLevel="0" collapsed="false">
      <c r="D277" s="12" t="n">
        <v>274</v>
      </c>
      <c r="E277" s="13"/>
      <c r="F277" s="14" t="str">
        <f aca="false">IF(E277="","",IF(E277&gt;0,$B$7/E277^2,"invalid"))</f>
        <v/>
      </c>
    </row>
    <row r="278" customFormat="false" ht="15" hidden="false" customHeight="false" outlineLevel="0" collapsed="false">
      <c r="D278" s="12" t="n">
        <v>275</v>
      </c>
      <c r="E278" s="13"/>
      <c r="F278" s="14" t="str">
        <f aca="false">IF(E278="","",IF(E278&gt;0,$B$7/E278^2,"invalid"))</f>
        <v/>
      </c>
    </row>
    <row r="279" customFormat="false" ht="15" hidden="false" customHeight="false" outlineLevel="0" collapsed="false">
      <c r="D279" s="12" t="n">
        <v>276</v>
      </c>
      <c r="E279" s="13"/>
      <c r="F279" s="14" t="str">
        <f aca="false">IF(E279="","",IF(E279&gt;0,$B$7/E279^2,"invalid"))</f>
        <v/>
      </c>
    </row>
    <row r="280" customFormat="false" ht="15" hidden="false" customHeight="false" outlineLevel="0" collapsed="false">
      <c r="D280" s="12" t="n">
        <v>277</v>
      </c>
      <c r="E280" s="13"/>
      <c r="F280" s="14" t="str">
        <f aca="false">IF(E280="","",IF(E280&gt;0,$B$7/E280^2,"invalid"))</f>
        <v/>
      </c>
    </row>
    <row r="281" customFormat="false" ht="15" hidden="false" customHeight="false" outlineLevel="0" collapsed="false">
      <c r="D281" s="12" t="n">
        <v>278</v>
      </c>
      <c r="E281" s="13"/>
      <c r="F281" s="14" t="str">
        <f aca="false">IF(E281="","",IF(E281&gt;0,$B$7/E281^2,"invalid"))</f>
        <v/>
      </c>
    </row>
    <row r="282" customFormat="false" ht="15" hidden="false" customHeight="false" outlineLevel="0" collapsed="false">
      <c r="D282" s="12" t="n">
        <v>279</v>
      </c>
      <c r="E282" s="13"/>
      <c r="F282" s="14" t="str">
        <f aca="false">IF(E282="","",IF(E282&gt;0,$B$7/E282^2,"invalid"))</f>
        <v/>
      </c>
    </row>
    <row r="283" customFormat="false" ht="15" hidden="false" customHeight="false" outlineLevel="0" collapsed="false">
      <c r="D283" s="12" t="n">
        <v>280</v>
      </c>
      <c r="E283" s="13"/>
      <c r="F283" s="14" t="str">
        <f aca="false">IF(E283="","",IF(E283&gt;0,$B$7/E283^2,"invalid"))</f>
        <v/>
      </c>
    </row>
    <row r="284" customFormat="false" ht="15" hidden="false" customHeight="false" outlineLevel="0" collapsed="false">
      <c r="D284" s="12" t="n">
        <v>281</v>
      </c>
      <c r="E284" s="13"/>
      <c r="F284" s="14" t="str">
        <f aca="false">IF(E284="","",IF(E284&gt;0,$B$7/E284^2,"invalid"))</f>
        <v/>
      </c>
    </row>
    <row r="285" customFormat="false" ht="15" hidden="false" customHeight="false" outlineLevel="0" collapsed="false">
      <c r="D285" s="12" t="n">
        <v>282</v>
      </c>
      <c r="E285" s="13"/>
      <c r="F285" s="14" t="str">
        <f aca="false">IF(E285="","",IF(E285&gt;0,$B$7/E285^2,"invalid"))</f>
        <v/>
      </c>
    </row>
    <row r="286" customFormat="false" ht="15" hidden="false" customHeight="false" outlineLevel="0" collapsed="false">
      <c r="D286" s="12" t="n">
        <v>283</v>
      </c>
      <c r="E286" s="13"/>
      <c r="F286" s="14" t="str">
        <f aca="false">IF(E286="","",IF(E286&gt;0,$B$7/E286^2,"invalid"))</f>
        <v/>
      </c>
    </row>
    <row r="287" customFormat="false" ht="15" hidden="false" customHeight="false" outlineLevel="0" collapsed="false">
      <c r="D287" s="12" t="n">
        <v>284</v>
      </c>
      <c r="E287" s="13"/>
      <c r="F287" s="14" t="str">
        <f aca="false">IF(E287="","",IF(E287&gt;0,$B$7/E287^2,"invalid"))</f>
        <v/>
      </c>
    </row>
    <row r="288" customFormat="false" ht="15" hidden="false" customHeight="false" outlineLevel="0" collapsed="false">
      <c r="D288" s="12" t="n">
        <v>285</v>
      </c>
      <c r="E288" s="13"/>
      <c r="F288" s="14" t="str">
        <f aca="false">IF(E288="","",IF(E288&gt;0,$B$7/E288^2,"invalid"))</f>
        <v/>
      </c>
    </row>
    <row r="289" customFormat="false" ht="15" hidden="false" customHeight="false" outlineLevel="0" collapsed="false">
      <c r="D289" s="12" t="n">
        <v>286</v>
      </c>
      <c r="E289" s="13"/>
      <c r="F289" s="14" t="str">
        <f aca="false">IF(E289="","",IF(E289&gt;0,$B$7/E289^2,"invalid"))</f>
        <v/>
      </c>
    </row>
    <row r="290" customFormat="false" ht="15" hidden="false" customHeight="false" outlineLevel="0" collapsed="false">
      <c r="D290" s="12" t="n">
        <v>287</v>
      </c>
      <c r="E290" s="13"/>
      <c r="F290" s="14" t="str">
        <f aca="false">IF(E290="","",IF(E290&gt;0,$B$7/E290^2,"invalid"))</f>
        <v/>
      </c>
    </row>
    <row r="291" customFormat="false" ht="15" hidden="false" customHeight="false" outlineLevel="0" collapsed="false">
      <c r="D291" s="12" t="n">
        <v>288</v>
      </c>
      <c r="E291" s="13"/>
      <c r="F291" s="14" t="str">
        <f aca="false">IF(E291="","",IF(E291&gt;0,$B$7/E291^2,"invalid"))</f>
        <v/>
      </c>
    </row>
    <row r="292" customFormat="false" ht="15" hidden="false" customHeight="false" outlineLevel="0" collapsed="false">
      <c r="D292" s="12" t="n">
        <v>289</v>
      </c>
      <c r="E292" s="13"/>
      <c r="F292" s="14" t="str">
        <f aca="false">IF(E292="","",IF(E292&gt;0,$B$7/E292^2,"invalid"))</f>
        <v/>
      </c>
    </row>
    <row r="293" customFormat="false" ht="15" hidden="false" customHeight="false" outlineLevel="0" collapsed="false">
      <c r="D293" s="12" t="n">
        <v>290</v>
      </c>
      <c r="E293" s="13"/>
      <c r="F293" s="14" t="str">
        <f aca="false">IF(E293="","",IF(E293&gt;0,$B$7/E293^2,"invalid"))</f>
        <v/>
      </c>
    </row>
    <row r="294" customFormat="false" ht="15" hidden="false" customHeight="false" outlineLevel="0" collapsed="false">
      <c r="D294" s="12" t="n">
        <v>291</v>
      </c>
      <c r="E294" s="13"/>
      <c r="F294" s="14" t="str">
        <f aca="false">IF(E294="","",IF(E294&gt;0,$B$7/E294^2,"invalid"))</f>
        <v/>
      </c>
    </row>
    <row r="295" customFormat="false" ht="15" hidden="false" customHeight="false" outlineLevel="0" collapsed="false">
      <c r="D295" s="12" t="n">
        <v>292</v>
      </c>
      <c r="E295" s="13"/>
      <c r="F295" s="14" t="str">
        <f aca="false">IF(E295="","",IF(E295&gt;0,$B$7/E295^2,"invalid"))</f>
        <v/>
      </c>
    </row>
    <row r="296" customFormat="false" ht="15" hidden="false" customHeight="false" outlineLevel="0" collapsed="false">
      <c r="D296" s="12" t="n">
        <v>293</v>
      </c>
      <c r="E296" s="13"/>
      <c r="F296" s="14" t="str">
        <f aca="false">IF(E296="","",IF(E296&gt;0,$B$7/E296^2,"invalid"))</f>
        <v/>
      </c>
    </row>
    <row r="297" customFormat="false" ht="15" hidden="false" customHeight="false" outlineLevel="0" collapsed="false">
      <c r="D297" s="12" t="n">
        <v>294</v>
      </c>
      <c r="E297" s="13"/>
      <c r="F297" s="14" t="str">
        <f aca="false">IF(E297="","",IF(E297&gt;0,$B$7/E297^2,"invalid"))</f>
        <v/>
      </c>
    </row>
    <row r="298" customFormat="false" ht="15" hidden="false" customHeight="false" outlineLevel="0" collapsed="false">
      <c r="D298" s="12" t="n">
        <v>295</v>
      </c>
      <c r="E298" s="13"/>
      <c r="F298" s="14" t="str">
        <f aca="false">IF(E298="","",IF(E298&gt;0,$B$7/E298^2,"invalid"))</f>
        <v/>
      </c>
    </row>
    <row r="299" customFormat="false" ht="15" hidden="false" customHeight="false" outlineLevel="0" collapsed="false">
      <c r="D299" s="12" t="n">
        <v>296</v>
      </c>
      <c r="E299" s="13"/>
      <c r="F299" s="14" t="str">
        <f aca="false">IF(E299="","",IF(E299&gt;0,$B$7/E299^2,"invalid"))</f>
        <v/>
      </c>
    </row>
    <row r="300" customFormat="false" ht="15" hidden="false" customHeight="false" outlineLevel="0" collapsed="false">
      <c r="D300" s="12" t="n">
        <v>297</v>
      </c>
      <c r="E300" s="13"/>
      <c r="F300" s="14" t="str">
        <f aca="false">IF(E300="","",IF(E300&gt;0,$B$7/E300^2,"invalid"))</f>
        <v/>
      </c>
    </row>
    <row r="301" customFormat="false" ht="15" hidden="false" customHeight="false" outlineLevel="0" collapsed="false">
      <c r="D301" s="12" t="n">
        <v>298</v>
      </c>
      <c r="E301" s="13"/>
      <c r="F301" s="14" t="str">
        <f aca="false">IF(E301="","",IF(E301&gt;0,$B$7/E301^2,"invalid"))</f>
        <v/>
      </c>
    </row>
    <row r="302" customFormat="false" ht="15" hidden="false" customHeight="false" outlineLevel="0" collapsed="false">
      <c r="D302" s="12" t="n">
        <v>299</v>
      </c>
      <c r="E302" s="13"/>
      <c r="F302" s="14" t="str">
        <f aca="false">IF(E302="","",IF(E302&gt;0,$B$7/E302^2,"invalid"))</f>
        <v/>
      </c>
    </row>
    <row r="303" customFormat="false" ht="15" hidden="false" customHeight="false" outlineLevel="0" collapsed="false">
      <c r="D303" s="12" t="n">
        <v>300</v>
      </c>
      <c r="E303" s="13"/>
      <c r="F303" s="14" t="str">
        <f aca="false">IF(E303="","",IF(E303&gt;0,$B$7/E303^2,"invalid"))</f>
        <v/>
      </c>
    </row>
    <row r="304" customFormat="false" ht="15" hidden="false" customHeight="false" outlineLevel="0" collapsed="false">
      <c r="D304" s="12" t="n">
        <v>301</v>
      </c>
      <c r="E304" s="13"/>
      <c r="F304" s="14" t="str">
        <f aca="false">IF(E304="","",IF(E304&gt;0,$B$7/E304^2,"invalid"))</f>
        <v/>
      </c>
    </row>
    <row r="305" customFormat="false" ht="15" hidden="false" customHeight="false" outlineLevel="0" collapsed="false">
      <c r="D305" s="12" t="n">
        <v>302</v>
      </c>
      <c r="E305" s="13"/>
      <c r="F305" s="14" t="str">
        <f aca="false">IF(E305="","",IF(E305&gt;0,$B$7/E305^2,"invalid"))</f>
        <v/>
      </c>
    </row>
    <row r="306" customFormat="false" ht="15" hidden="false" customHeight="false" outlineLevel="0" collapsed="false">
      <c r="D306" s="12" t="n">
        <v>303</v>
      </c>
      <c r="E306" s="13"/>
      <c r="F306" s="14" t="str">
        <f aca="false">IF(E306="","",IF(E306&gt;0,$B$7/E306^2,"invalid"))</f>
        <v/>
      </c>
    </row>
    <row r="307" customFormat="false" ht="15" hidden="false" customHeight="false" outlineLevel="0" collapsed="false">
      <c r="D307" s="12" t="n">
        <v>304</v>
      </c>
      <c r="E307" s="13"/>
      <c r="F307" s="14" t="str">
        <f aca="false">IF(E307="","",IF(E307&gt;0,$B$7/E307^2,"invalid"))</f>
        <v/>
      </c>
    </row>
    <row r="308" customFormat="false" ht="15" hidden="false" customHeight="false" outlineLevel="0" collapsed="false">
      <c r="D308" s="12" t="n">
        <v>305</v>
      </c>
      <c r="E308" s="13"/>
      <c r="F308" s="14" t="str">
        <f aca="false">IF(E308="","",IF(E308&gt;0,$B$7/E308^2,"invalid"))</f>
        <v/>
      </c>
    </row>
    <row r="309" customFormat="false" ht="15" hidden="false" customHeight="false" outlineLevel="0" collapsed="false">
      <c r="D309" s="12" t="n">
        <v>306</v>
      </c>
      <c r="E309" s="13"/>
      <c r="F309" s="14" t="str">
        <f aca="false">IF(E309="","",IF(E309&gt;0,$B$7/E309^2,"invalid"))</f>
        <v/>
      </c>
    </row>
    <row r="310" customFormat="false" ht="15" hidden="false" customHeight="false" outlineLevel="0" collapsed="false">
      <c r="D310" s="12" t="n">
        <v>307</v>
      </c>
      <c r="E310" s="13"/>
      <c r="F310" s="14" t="str">
        <f aca="false">IF(E310="","",IF(E310&gt;0,$B$7/E310^2,"invalid"))</f>
        <v/>
      </c>
    </row>
    <row r="311" customFormat="false" ht="15" hidden="false" customHeight="false" outlineLevel="0" collapsed="false">
      <c r="D311" s="12" t="n">
        <v>308</v>
      </c>
      <c r="E311" s="13"/>
      <c r="F311" s="14" t="str">
        <f aca="false">IF(E311="","",IF(E311&gt;0,$B$7/E311^2,"invalid"))</f>
        <v/>
      </c>
    </row>
    <row r="312" customFormat="false" ht="15" hidden="false" customHeight="false" outlineLevel="0" collapsed="false">
      <c r="D312" s="12" t="n">
        <v>309</v>
      </c>
      <c r="E312" s="13"/>
      <c r="F312" s="14" t="str">
        <f aca="false">IF(E312="","",IF(E312&gt;0,$B$7/E312^2,"invalid"))</f>
        <v/>
      </c>
    </row>
    <row r="313" customFormat="false" ht="15" hidden="false" customHeight="false" outlineLevel="0" collapsed="false">
      <c r="D313" s="12" t="n">
        <v>310</v>
      </c>
      <c r="E313" s="13"/>
      <c r="F313" s="14" t="str">
        <f aca="false">IF(E313="","",IF(E313&gt;0,$B$7/E313^2,"invalid"))</f>
        <v/>
      </c>
    </row>
    <row r="314" customFormat="false" ht="15" hidden="false" customHeight="false" outlineLevel="0" collapsed="false">
      <c r="D314" s="12" t="n">
        <v>311</v>
      </c>
      <c r="E314" s="13"/>
      <c r="F314" s="14" t="str">
        <f aca="false">IF(E314="","",IF(E314&gt;0,$B$7/E314^2,"invalid"))</f>
        <v/>
      </c>
    </row>
    <row r="315" customFormat="false" ht="15" hidden="false" customHeight="false" outlineLevel="0" collapsed="false">
      <c r="D315" s="12" t="n">
        <v>312</v>
      </c>
      <c r="E315" s="13"/>
      <c r="F315" s="14" t="str">
        <f aca="false">IF(E315="","",IF(E315&gt;0,$B$7/E315^2,"invalid"))</f>
        <v/>
      </c>
    </row>
    <row r="316" customFormat="false" ht="15" hidden="false" customHeight="false" outlineLevel="0" collapsed="false">
      <c r="D316" s="12" t="n">
        <v>313</v>
      </c>
      <c r="E316" s="13"/>
      <c r="F316" s="14" t="str">
        <f aca="false">IF(E316="","",IF(E316&gt;0,$B$7/E316^2,"invalid"))</f>
        <v/>
      </c>
    </row>
    <row r="317" customFormat="false" ht="15" hidden="false" customHeight="false" outlineLevel="0" collapsed="false">
      <c r="D317" s="12" t="n">
        <v>314</v>
      </c>
      <c r="E317" s="13"/>
      <c r="F317" s="14" t="str">
        <f aca="false">IF(E317="","",IF(E317&gt;0,$B$7/E317^2,"invalid"))</f>
        <v/>
      </c>
    </row>
    <row r="318" customFormat="false" ht="15" hidden="false" customHeight="false" outlineLevel="0" collapsed="false">
      <c r="D318" s="12" t="n">
        <v>315</v>
      </c>
      <c r="E318" s="13"/>
      <c r="F318" s="14" t="str">
        <f aca="false">IF(E318="","",IF(E318&gt;0,$B$7/E318^2,"invalid"))</f>
        <v/>
      </c>
    </row>
    <row r="319" customFormat="false" ht="15" hidden="false" customHeight="false" outlineLevel="0" collapsed="false">
      <c r="D319" s="12" t="n">
        <v>316</v>
      </c>
      <c r="E319" s="13"/>
      <c r="F319" s="14" t="str">
        <f aca="false">IF(E319="","",IF(E319&gt;0,$B$7/E319^2,"invalid"))</f>
        <v/>
      </c>
    </row>
    <row r="320" customFormat="false" ht="15" hidden="false" customHeight="false" outlineLevel="0" collapsed="false">
      <c r="D320" s="12" t="n">
        <v>317</v>
      </c>
      <c r="E320" s="13"/>
      <c r="F320" s="14" t="str">
        <f aca="false">IF(E320="","",IF(E320&gt;0,$B$7/E320^2,"invalid"))</f>
        <v/>
      </c>
    </row>
    <row r="321" customFormat="false" ht="15" hidden="false" customHeight="false" outlineLevel="0" collapsed="false">
      <c r="D321" s="12" t="n">
        <v>318</v>
      </c>
      <c r="E321" s="13"/>
      <c r="F321" s="14" t="str">
        <f aca="false">IF(E321="","",IF(E321&gt;0,$B$7/E321^2,"invalid"))</f>
        <v/>
      </c>
    </row>
    <row r="322" customFormat="false" ht="15" hidden="false" customHeight="false" outlineLevel="0" collapsed="false">
      <c r="D322" s="12" t="n">
        <v>319</v>
      </c>
      <c r="E322" s="13"/>
      <c r="F322" s="14" t="str">
        <f aca="false">IF(E322="","",IF(E322&gt;0,$B$7/E322^2,"invalid"))</f>
        <v/>
      </c>
    </row>
    <row r="323" customFormat="false" ht="15" hidden="false" customHeight="false" outlineLevel="0" collapsed="false">
      <c r="D323" s="12" t="n">
        <v>320</v>
      </c>
      <c r="E323" s="13"/>
      <c r="F323" s="14" t="str">
        <f aca="false">IF(E323="","",IF(E323&gt;0,$B$7/E323^2,"invalid"))</f>
        <v/>
      </c>
    </row>
    <row r="324" customFormat="false" ht="15" hidden="false" customHeight="false" outlineLevel="0" collapsed="false">
      <c r="D324" s="12" t="n">
        <v>321</v>
      </c>
      <c r="E324" s="13"/>
      <c r="F324" s="14" t="str">
        <f aca="false">IF(E324="","",IF(E324&gt;0,$B$7/E324^2,"invalid"))</f>
        <v/>
      </c>
    </row>
    <row r="325" customFormat="false" ht="15" hidden="false" customHeight="false" outlineLevel="0" collapsed="false">
      <c r="D325" s="12" t="n">
        <v>322</v>
      </c>
      <c r="E325" s="13"/>
      <c r="F325" s="14" t="str">
        <f aca="false">IF(E325="","",IF(E325&gt;0,$B$7/E325^2,"invalid"))</f>
        <v/>
      </c>
    </row>
    <row r="326" customFormat="false" ht="15" hidden="false" customHeight="false" outlineLevel="0" collapsed="false">
      <c r="D326" s="12" t="n">
        <v>323</v>
      </c>
      <c r="E326" s="13"/>
      <c r="F326" s="14" t="str">
        <f aca="false">IF(E326="","",IF(E326&gt;0,$B$7/E326^2,"invalid"))</f>
        <v/>
      </c>
    </row>
    <row r="327" customFormat="false" ht="15" hidden="false" customHeight="false" outlineLevel="0" collapsed="false">
      <c r="D327" s="12" t="n">
        <v>324</v>
      </c>
      <c r="E327" s="13"/>
      <c r="F327" s="14" t="str">
        <f aca="false">IF(E327="","",IF(E327&gt;0,$B$7/E327^2,"invalid"))</f>
        <v/>
      </c>
    </row>
    <row r="328" customFormat="false" ht="15" hidden="false" customHeight="false" outlineLevel="0" collapsed="false">
      <c r="D328" s="12" t="n">
        <v>325</v>
      </c>
      <c r="E328" s="13"/>
      <c r="F328" s="14" t="str">
        <f aca="false">IF(E328="","",IF(E328&gt;0,$B$7/E328^2,"invalid"))</f>
        <v/>
      </c>
    </row>
    <row r="329" customFormat="false" ht="15" hidden="false" customHeight="false" outlineLevel="0" collapsed="false">
      <c r="D329" s="12" t="n">
        <v>326</v>
      </c>
      <c r="E329" s="13"/>
      <c r="F329" s="14" t="str">
        <f aca="false">IF(E329="","",IF(E329&gt;0,$B$7/E329^2,"invalid"))</f>
        <v/>
      </c>
    </row>
    <row r="330" customFormat="false" ht="15" hidden="false" customHeight="false" outlineLevel="0" collapsed="false">
      <c r="D330" s="12" t="n">
        <v>327</v>
      </c>
      <c r="E330" s="13"/>
      <c r="F330" s="14" t="str">
        <f aca="false">IF(E330="","",IF(E330&gt;0,$B$7/E330^2,"invalid"))</f>
        <v/>
      </c>
    </row>
    <row r="331" customFormat="false" ht="15" hidden="false" customHeight="false" outlineLevel="0" collapsed="false">
      <c r="D331" s="12" t="n">
        <v>328</v>
      </c>
      <c r="E331" s="13"/>
      <c r="F331" s="14" t="str">
        <f aca="false">IF(E331="","",IF(E331&gt;0,$B$7/E331^2,"invalid"))</f>
        <v/>
      </c>
    </row>
    <row r="332" customFormat="false" ht="15" hidden="false" customHeight="false" outlineLevel="0" collapsed="false">
      <c r="D332" s="12" t="n">
        <v>329</v>
      </c>
      <c r="E332" s="13"/>
      <c r="F332" s="14" t="str">
        <f aca="false">IF(E332="","",IF(E332&gt;0,$B$7/E332^2,"invalid"))</f>
        <v/>
      </c>
    </row>
    <row r="333" customFormat="false" ht="15" hidden="false" customHeight="false" outlineLevel="0" collapsed="false">
      <c r="D333" s="12" t="n">
        <v>330</v>
      </c>
      <c r="E333" s="13"/>
      <c r="F333" s="14" t="str">
        <f aca="false">IF(E333="","",IF(E333&gt;0,$B$7/E333^2,"invalid"))</f>
        <v/>
      </c>
    </row>
    <row r="334" customFormat="false" ht="15" hidden="false" customHeight="false" outlineLevel="0" collapsed="false">
      <c r="D334" s="12" t="n">
        <v>331</v>
      </c>
      <c r="E334" s="13"/>
      <c r="F334" s="14" t="str">
        <f aca="false">IF(E334="","",IF(E334&gt;0,$B$7/E334^2,"invalid"))</f>
        <v/>
      </c>
    </row>
    <row r="335" customFormat="false" ht="15" hidden="false" customHeight="false" outlineLevel="0" collapsed="false">
      <c r="D335" s="12" t="n">
        <v>332</v>
      </c>
      <c r="E335" s="13"/>
      <c r="F335" s="14" t="str">
        <f aca="false">IF(E335="","",IF(E335&gt;0,$B$7/E335^2,"invalid"))</f>
        <v/>
      </c>
    </row>
    <row r="336" customFormat="false" ht="15" hidden="false" customHeight="false" outlineLevel="0" collapsed="false">
      <c r="D336" s="12" t="n">
        <v>333</v>
      </c>
      <c r="E336" s="13"/>
      <c r="F336" s="14" t="str">
        <f aca="false">IF(E336="","",IF(E336&gt;0,$B$7/E336^2,"invalid"))</f>
        <v/>
      </c>
    </row>
    <row r="337" customFormat="false" ht="15" hidden="false" customHeight="false" outlineLevel="0" collapsed="false">
      <c r="D337" s="12" t="n">
        <v>334</v>
      </c>
      <c r="E337" s="13"/>
      <c r="F337" s="14" t="str">
        <f aca="false">IF(E337="","",IF(E337&gt;0,$B$7/E337^2,"invalid"))</f>
        <v/>
      </c>
    </row>
    <row r="338" customFormat="false" ht="15" hidden="false" customHeight="false" outlineLevel="0" collapsed="false">
      <c r="D338" s="12" t="n">
        <v>335</v>
      </c>
      <c r="E338" s="13"/>
      <c r="F338" s="14" t="str">
        <f aca="false">IF(E338="","",IF(E338&gt;0,$B$7/E338^2,"invalid"))</f>
        <v/>
      </c>
    </row>
    <row r="339" customFormat="false" ht="15" hidden="false" customHeight="false" outlineLevel="0" collapsed="false">
      <c r="D339" s="12" t="n">
        <v>336</v>
      </c>
      <c r="E339" s="13"/>
      <c r="F339" s="14" t="str">
        <f aca="false">IF(E339="","",IF(E339&gt;0,$B$7/E339^2,"invalid"))</f>
        <v/>
      </c>
    </row>
    <row r="340" customFormat="false" ht="15" hidden="false" customHeight="false" outlineLevel="0" collapsed="false">
      <c r="D340" s="12" t="n">
        <v>337</v>
      </c>
      <c r="E340" s="13"/>
      <c r="F340" s="14" t="str">
        <f aca="false">IF(E340="","",IF(E340&gt;0,$B$7/E340^2,"invalid"))</f>
        <v/>
      </c>
    </row>
    <row r="341" customFormat="false" ht="15" hidden="false" customHeight="false" outlineLevel="0" collapsed="false">
      <c r="D341" s="12" t="n">
        <v>338</v>
      </c>
      <c r="E341" s="13"/>
      <c r="F341" s="14" t="str">
        <f aca="false">IF(E341="","",IF(E341&gt;0,$B$7/E341^2,"invalid"))</f>
        <v/>
      </c>
    </row>
    <row r="342" customFormat="false" ht="15" hidden="false" customHeight="false" outlineLevel="0" collapsed="false">
      <c r="D342" s="12" t="n">
        <v>339</v>
      </c>
      <c r="E342" s="13"/>
      <c r="F342" s="14" t="str">
        <f aca="false">IF(E342="","",IF(E342&gt;0,$B$7/E342^2,"invalid"))</f>
        <v/>
      </c>
    </row>
    <row r="343" customFormat="false" ht="15" hidden="false" customHeight="false" outlineLevel="0" collapsed="false">
      <c r="D343" s="12" t="n">
        <v>340</v>
      </c>
      <c r="E343" s="13"/>
      <c r="F343" s="14" t="str">
        <f aca="false">IF(E343="","",IF(E343&gt;0,$B$7/E343^2,"invalid"))</f>
        <v/>
      </c>
    </row>
    <row r="344" customFormat="false" ht="15" hidden="false" customHeight="false" outlineLevel="0" collapsed="false">
      <c r="D344" s="12" t="n">
        <v>341</v>
      </c>
      <c r="E344" s="13"/>
      <c r="F344" s="14" t="str">
        <f aca="false">IF(E344="","",IF(E344&gt;0,$B$7/E344^2,"invalid"))</f>
        <v/>
      </c>
    </row>
    <row r="345" customFormat="false" ht="15" hidden="false" customHeight="false" outlineLevel="0" collapsed="false">
      <c r="D345" s="12" t="n">
        <v>342</v>
      </c>
      <c r="E345" s="13"/>
      <c r="F345" s="14" t="str">
        <f aca="false">IF(E345="","",IF(E345&gt;0,$B$7/E345^2,"invalid"))</f>
        <v/>
      </c>
    </row>
    <row r="346" customFormat="false" ht="15" hidden="false" customHeight="false" outlineLevel="0" collapsed="false">
      <c r="D346" s="12" t="n">
        <v>343</v>
      </c>
      <c r="E346" s="13"/>
      <c r="F346" s="14" t="str">
        <f aca="false">IF(E346="","",IF(E346&gt;0,$B$7/E346^2,"invalid"))</f>
        <v/>
      </c>
    </row>
    <row r="347" customFormat="false" ht="15" hidden="false" customHeight="false" outlineLevel="0" collapsed="false">
      <c r="D347" s="12" t="n">
        <v>344</v>
      </c>
      <c r="E347" s="13"/>
      <c r="F347" s="14" t="str">
        <f aca="false">IF(E347="","",IF(E347&gt;0,$B$7/E347^2,"invalid"))</f>
        <v/>
      </c>
    </row>
    <row r="348" customFormat="false" ht="15" hidden="false" customHeight="false" outlineLevel="0" collapsed="false">
      <c r="D348" s="12" t="n">
        <v>345</v>
      </c>
      <c r="E348" s="13"/>
      <c r="F348" s="14" t="str">
        <f aca="false">IF(E348="","",IF(E348&gt;0,$B$7/E348^2,"invalid"))</f>
        <v/>
      </c>
    </row>
    <row r="349" customFormat="false" ht="15" hidden="false" customHeight="false" outlineLevel="0" collapsed="false">
      <c r="D349" s="12" t="n">
        <v>346</v>
      </c>
      <c r="E349" s="13"/>
      <c r="F349" s="14" t="str">
        <f aca="false">IF(E349="","",IF(E349&gt;0,$B$7/E349^2,"invalid"))</f>
        <v/>
      </c>
    </row>
    <row r="350" customFormat="false" ht="15" hidden="false" customHeight="false" outlineLevel="0" collapsed="false">
      <c r="D350" s="12" t="n">
        <v>347</v>
      </c>
      <c r="E350" s="13"/>
      <c r="F350" s="14" t="str">
        <f aca="false">IF(E350="","",IF(E350&gt;0,$B$7/E350^2,"invalid"))</f>
        <v/>
      </c>
    </row>
    <row r="351" customFormat="false" ht="15" hidden="false" customHeight="false" outlineLevel="0" collapsed="false">
      <c r="D351" s="12" t="n">
        <v>348</v>
      </c>
      <c r="E351" s="13"/>
      <c r="F351" s="14" t="str">
        <f aca="false">IF(E351="","",IF(E351&gt;0,$B$7/E351^2,"invalid"))</f>
        <v/>
      </c>
    </row>
    <row r="352" customFormat="false" ht="15" hidden="false" customHeight="false" outlineLevel="0" collapsed="false">
      <c r="D352" s="12" t="n">
        <v>349</v>
      </c>
      <c r="E352" s="13"/>
      <c r="F352" s="14" t="str">
        <f aca="false">IF(E352="","",IF(E352&gt;0,$B$7/E352^2,"invalid"))</f>
        <v/>
      </c>
    </row>
    <row r="353" customFormat="false" ht="15" hidden="false" customHeight="false" outlineLevel="0" collapsed="false">
      <c r="D353" s="12" t="n">
        <v>350</v>
      </c>
      <c r="E353" s="13"/>
      <c r="F353" s="14" t="str">
        <f aca="false">IF(E353="","",IF(E353&gt;0,$B$7/E353^2,"invalid"))</f>
        <v/>
      </c>
    </row>
    <row r="354" customFormat="false" ht="15" hidden="false" customHeight="false" outlineLevel="0" collapsed="false">
      <c r="D354" s="12" t="n">
        <v>351</v>
      </c>
      <c r="E354" s="13"/>
      <c r="F354" s="14" t="str">
        <f aca="false">IF(E354="","",IF(E354&gt;0,$B$7/E354^2,"invalid"))</f>
        <v/>
      </c>
    </row>
    <row r="355" customFormat="false" ht="15" hidden="false" customHeight="false" outlineLevel="0" collapsed="false">
      <c r="D355" s="12" t="n">
        <v>352</v>
      </c>
      <c r="E355" s="13"/>
      <c r="F355" s="14" t="str">
        <f aca="false">IF(E355="","",IF(E355&gt;0,$B$7/E355^2,"invalid"))</f>
        <v/>
      </c>
    </row>
    <row r="356" customFormat="false" ht="15" hidden="false" customHeight="false" outlineLevel="0" collapsed="false">
      <c r="D356" s="12" t="n">
        <v>353</v>
      </c>
      <c r="E356" s="13"/>
      <c r="F356" s="14" t="str">
        <f aca="false">IF(E356="","",IF(E356&gt;0,$B$7/E356^2,"invalid"))</f>
        <v/>
      </c>
    </row>
    <row r="357" customFormat="false" ht="15" hidden="false" customHeight="false" outlineLevel="0" collapsed="false">
      <c r="D357" s="12" t="n">
        <v>354</v>
      </c>
      <c r="E357" s="13"/>
      <c r="F357" s="14" t="str">
        <f aca="false">IF(E357="","",IF(E357&gt;0,$B$7/E357^2,"invalid"))</f>
        <v/>
      </c>
    </row>
    <row r="358" customFormat="false" ht="15" hidden="false" customHeight="false" outlineLevel="0" collapsed="false">
      <c r="D358" s="12" t="n">
        <v>355</v>
      </c>
      <c r="E358" s="13"/>
      <c r="F358" s="14" t="str">
        <f aca="false">IF(E358="","",IF(E358&gt;0,$B$7/E358^2,"invalid"))</f>
        <v/>
      </c>
    </row>
    <row r="359" customFormat="false" ht="15" hidden="false" customHeight="false" outlineLevel="0" collapsed="false">
      <c r="D359" s="12" t="n">
        <v>356</v>
      </c>
      <c r="E359" s="13"/>
      <c r="F359" s="14" t="str">
        <f aca="false">IF(E359="","",IF(E359&gt;0,$B$7/E359^2,"invalid"))</f>
        <v/>
      </c>
    </row>
    <row r="360" customFormat="false" ht="15" hidden="false" customHeight="false" outlineLevel="0" collapsed="false">
      <c r="D360" s="12" t="n">
        <v>357</v>
      </c>
      <c r="E360" s="13"/>
      <c r="F360" s="14" t="str">
        <f aca="false">IF(E360="","",IF(E360&gt;0,$B$7/E360^2,"invalid"))</f>
        <v/>
      </c>
    </row>
    <row r="361" customFormat="false" ht="15" hidden="false" customHeight="false" outlineLevel="0" collapsed="false">
      <c r="D361" s="12" t="n">
        <v>358</v>
      </c>
      <c r="E361" s="13"/>
      <c r="F361" s="14" t="str">
        <f aca="false">IF(E361="","",IF(E361&gt;0,$B$7/E361^2,"invalid"))</f>
        <v/>
      </c>
    </row>
    <row r="362" customFormat="false" ht="15" hidden="false" customHeight="false" outlineLevel="0" collapsed="false">
      <c r="D362" s="12" t="n">
        <v>359</v>
      </c>
      <c r="E362" s="13"/>
      <c r="F362" s="14" t="str">
        <f aca="false">IF(E362="","",IF(E362&gt;0,$B$7/E362^2,"invalid"))</f>
        <v/>
      </c>
    </row>
    <row r="363" customFormat="false" ht="15" hidden="false" customHeight="false" outlineLevel="0" collapsed="false">
      <c r="D363" s="12" t="n">
        <v>360</v>
      </c>
      <c r="E363" s="13"/>
      <c r="F363" s="14" t="str">
        <f aca="false">IF(E363="","",IF(E363&gt;0,$B$7/E363^2,"invalid"))</f>
        <v/>
      </c>
    </row>
    <row r="364" customFormat="false" ht="15" hidden="false" customHeight="false" outlineLevel="0" collapsed="false">
      <c r="D364" s="12" t="n">
        <v>361</v>
      </c>
      <c r="E364" s="13"/>
      <c r="F364" s="14" t="str">
        <f aca="false">IF(E364="","",IF(E364&gt;0,$B$7/E364^2,"invalid"))</f>
        <v/>
      </c>
    </row>
    <row r="365" customFormat="false" ht="15" hidden="false" customHeight="false" outlineLevel="0" collapsed="false">
      <c r="D365" s="12" t="n">
        <v>362</v>
      </c>
      <c r="E365" s="13"/>
      <c r="F365" s="14" t="str">
        <f aca="false">IF(E365="","",IF(E365&gt;0,$B$7/E365^2,"invalid"))</f>
        <v/>
      </c>
    </row>
    <row r="366" customFormat="false" ht="15" hidden="false" customHeight="false" outlineLevel="0" collapsed="false">
      <c r="D366" s="12" t="n">
        <v>363</v>
      </c>
      <c r="E366" s="13"/>
      <c r="F366" s="14" t="str">
        <f aca="false">IF(E366="","",IF(E366&gt;0,$B$7/E366^2,"invalid"))</f>
        <v/>
      </c>
    </row>
    <row r="367" customFormat="false" ht="15" hidden="false" customHeight="false" outlineLevel="0" collapsed="false">
      <c r="D367" s="12" t="n">
        <v>364</v>
      </c>
      <c r="E367" s="13"/>
      <c r="F367" s="14" t="str">
        <f aca="false">IF(E367="","",IF(E367&gt;0,$B$7/E367^2,"invalid"))</f>
        <v/>
      </c>
    </row>
    <row r="368" customFormat="false" ht="15" hidden="false" customHeight="false" outlineLevel="0" collapsed="false">
      <c r="D368" s="12" t="n">
        <v>365</v>
      </c>
      <c r="E368" s="13"/>
      <c r="F368" s="14" t="str">
        <f aca="false">IF(E368="","",IF(E368&gt;0,$B$7/E368^2,"invalid"))</f>
        <v/>
      </c>
    </row>
    <row r="369" customFormat="false" ht="15" hidden="false" customHeight="false" outlineLevel="0" collapsed="false">
      <c r="D369" s="12" t="n">
        <v>366</v>
      </c>
      <c r="E369" s="13"/>
      <c r="F369" s="14" t="str">
        <f aca="false">IF(E369="","",IF(E369&gt;0,$B$7/E369^2,"invalid"))</f>
        <v/>
      </c>
    </row>
    <row r="370" customFormat="false" ht="15" hidden="false" customHeight="false" outlineLevel="0" collapsed="false">
      <c r="D370" s="12" t="n">
        <v>367</v>
      </c>
      <c r="E370" s="13"/>
      <c r="F370" s="14" t="str">
        <f aca="false">IF(E370="","",IF(E370&gt;0,$B$7/E370^2,"invalid"))</f>
        <v/>
      </c>
    </row>
    <row r="371" customFormat="false" ht="15" hidden="false" customHeight="false" outlineLevel="0" collapsed="false">
      <c r="D371" s="12" t="n">
        <v>368</v>
      </c>
      <c r="E371" s="13"/>
      <c r="F371" s="14" t="str">
        <f aca="false">IF(E371="","",IF(E371&gt;0,$B$7/E371^2,"invalid"))</f>
        <v/>
      </c>
    </row>
    <row r="372" customFormat="false" ht="15" hidden="false" customHeight="false" outlineLevel="0" collapsed="false">
      <c r="D372" s="12" t="n">
        <v>369</v>
      </c>
      <c r="E372" s="13"/>
      <c r="F372" s="14" t="str">
        <f aca="false">IF(E372="","",IF(E372&gt;0,$B$7/E372^2,"invalid"))</f>
        <v/>
      </c>
    </row>
    <row r="373" customFormat="false" ht="15" hidden="false" customHeight="false" outlineLevel="0" collapsed="false">
      <c r="D373" s="12" t="n">
        <v>370</v>
      </c>
      <c r="E373" s="13"/>
      <c r="F373" s="14" t="str">
        <f aca="false">IF(E373="","",IF(E373&gt;0,$B$7/E373^2,"invalid"))</f>
        <v/>
      </c>
    </row>
    <row r="374" customFormat="false" ht="15" hidden="false" customHeight="false" outlineLevel="0" collapsed="false">
      <c r="D374" s="12" t="n">
        <v>371</v>
      </c>
      <c r="E374" s="13"/>
      <c r="F374" s="14" t="str">
        <f aca="false">IF(E374="","",IF(E374&gt;0,$B$7/E374^2,"invalid"))</f>
        <v/>
      </c>
    </row>
    <row r="375" customFormat="false" ht="15" hidden="false" customHeight="false" outlineLevel="0" collapsed="false">
      <c r="D375" s="12" t="n">
        <v>372</v>
      </c>
      <c r="E375" s="13"/>
      <c r="F375" s="14" t="str">
        <f aca="false">IF(E375="","",IF(E375&gt;0,$B$7/E375^2,"invalid"))</f>
        <v/>
      </c>
    </row>
    <row r="376" customFormat="false" ht="15" hidden="false" customHeight="false" outlineLevel="0" collapsed="false">
      <c r="D376" s="12" t="n">
        <v>373</v>
      </c>
      <c r="E376" s="13"/>
      <c r="F376" s="14" t="str">
        <f aca="false">IF(E376="","",IF(E376&gt;0,$B$7/E376^2,"invalid"))</f>
        <v/>
      </c>
    </row>
    <row r="377" customFormat="false" ht="15" hidden="false" customHeight="false" outlineLevel="0" collapsed="false">
      <c r="D377" s="12" t="n">
        <v>374</v>
      </c>
      <c r="E377" s="13"/>
      <c r="F377" s="14" t="str">
        <f aca="false">IF(E377="","",IF(E377&gt;0,$B$7/E377^2,"invalid"))</f>
        <v/>
      </c>
    </row>
    <row r="378" customFormat="false" ht="15" hidden="false" customHeight="false" outlineLevel="0" collapsed="false">
      <c r="D378" s="12" t="n">
        <v>375</v>
      </c>
      <c r="E378" s="13"/>
      <c r="F378" s="14" t="str">
        <f aca="false">IF(E378="","",IF(E378&gt;0,$B$7/E378^2,"invalid"))</f>
        <v/>
      </c>
    </row>
    <row r="379" customFormat="false" ht="15" hidden="false" customHeight="false" outlineLevel="0" collapsed="false">
      <c r="D379" s="12" t="n">
        <v>376</v>
      </c>
      <c r="E379" s="13"/>
      <c r="F379" s="14" t="str">
        <f aca="false">IF(E379="","",IF(E379&gt;0,$B$7/E379^2,"invalid"))</f>
        <v/>
      </c>
    </row>
    <row r="380" customFormat="false" ht="15" hidden="false" customHeight="false" outlineLevel="0" collapsed="false">
      <c r="D380" s="12" t="n">
        <v>377</v>
      </c>
      <c r="E380" s="13"/>
      <c r="F380" s="14" t="str">
        <f aca="false">IF(E380="","",IF(E380&gt;0,$B$7/E380^2,"invalid"))</f>
        <v/>
      </c>
    </row>
    <row r="381" customFormat="false" ht="15" hidden="false" customHeight="false" outlineLevel="0" collapsed="false">
      <c r="D381" s="12" t="n">
        <v>378</v>
      </c>
      <c r="E381" s="13"/>
      <c r="F381" s="14" t="str">
        <f aca="false">IF(E381="","",IF(E381&gt;0,$B$7/E381^2,"invalid"))</f>
        <v/>
      </c>
    </row>
    <row r="382" customFormat="false" ht="15" hidden="false" customHeight="false" outlineLevel="0" collapsed="false">
      <c r="D382" s="12" t="n">
        <v>379</v>
      </c>
      <c r="E382" s="13"/>
      <c r="F382" s="14" t="str">
        <f aca="false">IF(E382="","",IF(E382&gt;0,$B$7/E382^2,"invalid"))</f>
        <v/>
      </c>
    </row>
    <row r="383" customFormat="false" ht="15" hidden="false" customHeight="false" outlineLevel="0" collapsed="false">
      <c r="D383" s="12" t="n">
        <v>380</v>
      </c>
      <c r="E383" s="13"/>
      <c r="F383" s="14" t="str">
        <f aca="false">IF(E383="","",IF(E383&gt;0,$B$7/E383^2,"invalid"))</f>
        <v/>
      </c>
    </row>
    <row r="384" customFormat="false" ht="15" hidden="false" customHeight="false" outlineLevel="0" collapsed="false">
      <c r="D384" s="12" t="n">
        <v>381</v>
      </c>
      <c r="E384" s="13"/>
      <c r="F384" s="14" t="str">
        <f aca="false">IF(E384="","",IF(E384&gt;0,$B$7/E384^2,"invalid"))</f>
        <v/>
      </c>
    </row>
    <row r="385" customFormat="false" ht="15" hidden="false" customHeight="false" outlineLevel="0" collapsed="false">
      <c r="D385" s="12" t="n">
        <v>382</v>
      </c>
      <c r="E385" s="13"/>
      <c r="F385" s="14" t="str">
        <f aca="false">IF(E385="","",IF(E385&gt;0,$B$7/E385^2,"invalid"))</f>
        <v/>
      </c>
    </row>
    <row r="386" customFormat="false" ht="15" hidden="false" customHeight="false" outlineLevel="0" collapsed="false">
      <c r="D386" s="12" t="n">
        <v>383</v>
      </c>
      <c r="E386" s="13"/>
      <c r="F386" s="14" t="str">
        <f aca="false">IF(E386="","",IF(E386&gt;0,$B$7/E386^2,"invalid"))</f>
        <v/>
      </c>
    </row>
    <row r="387" customFormat="false" ht="15" hidden="false" customHeight="false" outlineLevel="0" collapsed="false">
      <c r="D387" s="12" t="n">
        <v>384</v>
      </c>
      <c r="E387" s="13"/>
      <c r="F387" s="14" t="str">
        <f aca="false">IF(E387="","",IF(E387&gt;0,$B$7/E387^2,"invalid"))</f>
        <v/>
      </c>
    </row>
    <row r="388" customFormat="false" ht="15" hidden="false" customHeight="false" outlineLevel="0" collapsed="false">
      <c r="D388" s="12" t="n">
        <v>385</v>
      </c>
      <c r="E388" s="13"/>
      <c r="F388" s="14" t="str">
        <f aca="false">IF(E388="","",IF(E388&gt;0,$B$7/E388^2,"invalid"))</f>
        <v/>
      </c>
    </row>
    <row r="389" customFormat="false" ht="15" hidden="false" customHeight="false" outlineLevel="0" collapsed="false">
      <c r="D389" s="12" t="n">
        <v>386</v>
      </c>
      <c r="E389" s="13"/>
      <c r="F389" s="14" t="str">
        <f aca="false">IF(E389="","",IF(E389&gt;0,$B$7/E389^2,"invalid"))</f>
        <v/>
      </c>
    </row>
    <row r="390" customFormat="false" ht="15" hidden="false" customHeight="false" outlineLevel="0" collapsed="false">
      <c r="D390" s="12" t="n">
        <v>387</v>
      </c>
      <c r="E390" s="13"/>
      <c r="F390" s="14" t="str">
        <f aca="false">IF(E390="","",IF(E390&gt;0,$B$7/E390^2,"invalid"))</f>
        <v/>
      </c>
    </row>
    <row r="391" customFormat="false" ht="15" hidden="false" customHeight="false" outlineLevel="0" collapsed="false">
      <c r="D391" s="12" t="n">
        <v>388</v>
      </c>
      <c r="E391" s="13"/>
      <c r="F391" s="14" t="str">
        <f aca="false">IF(E391="","",IF(E391&gt;0,$B$7/E391^2,"invalid"))</f>
        <v/>
      </c>
    </row>
    <row r="392" customFormat="false" ht="15" hidden="false" customHeight="false" outlineLevel="0" collapsed="false">
      <c r="D392" s="12" t="n">
        <v>389</v>
      </c>
      <c r="E392" s="13"/>
      <c r="F392" s="14" t="str">
        <f aca="false">IF(E392="","",IF(E392&gt;0,$B$7/E392^2,"invalid"))</f>
        <v/>
      </c>
    </row>
    <row r="393" customFormat="false" ht="15" hidden="false" customHeight="false" outlineLevel="0" collapsed="false">
      <c r="D393" s="12" t="n">
        <v>390</v>
      </c>
      <c r="E393" s="13"/>
      <c r="F393" s="14" t="str">
        <f aca="false">IF(E393="","",IF(E393&gt;0,$B$7/E393^2,"invalid"))</f>
        <v/>
      </c>
    </row>
    <row r="394" customFormat="false" ht="15" hidden="false" customHeight="false" outlineLevel="0" collapsed="false">
      <c r="D394" s="12" t="n">
        <v>391</v>
      </c>
      <c r="E394" s="13"/>
      <c r="F394" s="14" t="str">
        <f aca="false">IF(E394="","",IF(E394&gt;0,$B$7/E394^2,"invalid"))</f>
        <v/>
      </c>
    </row>
    <row r="395" customFormat="false" ht="15" hidden="false" customHeight="false" outlineLevel="0" collapsed="false">
      <c r="D395" s="12" t="n">
        <v>392</v>
      </c>
      <c r="E395" s="13"/>
      <c r="F395" s="14" t="str">
        <f aca="false">IF(E395="","",IF(E395&gt;0,$B$7/E395^2,"invalid"))</f>
        <v/>
      </c>
    </row>
    <row r="396" customFormat="false" ht="15" hidden="false" customHeight="false" outlineLevel="0" collapsed="false">
      <c r="D396" s="12" t="n">
        <v>393</v>
      </c>
      <c r="E396" s="13"/>
      <c r="F396" s="14" t="str">
        <f aca="false">IF(E396="","",IF(E396&gt;0,$B$7/E396^2,"invalid"))</f>
        <v/>
      </c>
    </row>
    <row r="397" customFormat="false" ht="15" hidden="false" customHeight="false" outlineLevel="0" collapsed="false">
      <c r="D397" s="12" t="n">
        <v>394</v>
      </c>
      <c r="E397" s="13"/>
      <c r="F397" s="14" t="str">
        <f aca="false">IF(E397="","",IF(E397&gt;0,$B$7/E397^2,"invalid"))</f>
        <v/>
      </c>
    </row>
    <row r="398" customFormat="false" ht="15" hidden="false" customHeight="false" outlineLevel="0" collapsed="false">
      <c r="D398" s="12" t="n">
        <v>395</v>
      </c>
      <c r="E398" s="13"/>
      <c r="F398" s="14" t="str">
        <f aca="false">IF(E398="","",IF(E398&gt;0,$B$7/E398^2,"invalid"))</f>
        <v/>
      </c>
    </row>
    <row r="399" customFormat="false" ht="15" hidden="false" customHeight="false" outlineLevel="0" collapsed="false">
      <c r="D399" s="12" t="n">
        <v>396</v>
      </c>
      <c r="E399" s="13"/>
      <c r="F399" s="14" t="str">
        <f aca="false">IF(E399="","",IF(E399&gt;0,$B$7/E399^2,"invalid"))</f>
        <v/>
      </c>
    </row>
    <row r="400" customFormat="false" ht="15" hidden="false" customHeight="false" outlineLevel="0" collapsed="false">
      <c r="D400" s="12" t="n">
        <v>397</v>
      </c>
      <c r="E400" s="13"/>
      <c r="F400" s="14" t="str">
        <f aca="false">IF(E400="","",IF(E400&gt;0,$B$7/E400^2,"invalid"))</f>
        <v/>
      </c>
    </row>
    <row r="401" customFormat="false" ht="15" hidden="false" customHeight="false" outlineLevel="0" collapsed="false">
      <c r="D401" s="12" t="n">
        <v>398</v>
      </c>
      <c r="E401" s="13"/>
      <c r="F401" s="14" t="str">
        <f aca="false">IF(E401="","",IF(E401&gt;0,$B$7/E401^2,"invalid"))</f>
        <v/>
      </c>
    </row>
    <row r="402" customFormat="false" ht="15" hidden="false" customHeight="false" outlineLevel="0" collapsed="false">
      <c r="D402" s="12" t="n">
        <v>399</v>
      </c>
      <c r="E402" s="13"/>
      <c r="F402" s="14" t="str">
        <f aca="false">IF(E402="","",IF(E402&gt;0,$B$7/E402^2,"invalid"))</f>
        <v/>
      </c>
    </row>
    <row r="403" customFormat="false" ht="15" hidden="false" customHeight="false" outlineLevel="0" collapsed="false">
      <c r="D403" s="12" t="n">
        <v>400</v>
      </c>
      <c r="E403" s="13"/>
      <c r="F403" s="14" t="str">
        <f aca="false">IF(E403="","",IF(E403&gt;0,$B$7/E403^2,"invalid"))</f>
        <v/>
      </c>
    </row>
    <row r="404" customFormat="false" ht="15" hidden="false" customHeight="false" outlineLevel="0" collapsed="false">
      <c r="D404" s="12" t="n">
        <v>401</v>
      </c>
      <c r="E404" s="13"/>
      <c r="F404" s="14" t="str">
        <f aca="false">IF(E404="","",IF(E404&gt;0,$B$7/E404^2,"invalid"))</f>
        <v/>
      </c>
    </row>
    <row r="405" customFormat="false" ht="15" hidden="false" customHeight="false" outlineLevel="0" collapsed="false">
      <c r="D405" s="12" t="n">
        <v>402</v>
      </c>
      <c r="E405" s="13"/>
      <c r="F405" s="14" t="str">
        <f aca="false">IF(E405="","",IF(E405&gt;0,$B$7/E405^2,"invalid"))</f>
        <v/>
      </c>
    </row>
    <row r="406" customFormat="false" ht="15" hidden="false" customHeight="false" outlineLevel="0" collapsed="false">
      <c r="D406" s="12" t="n">
        <v>403</v>
      </c>
      <c r="E406" s="13"/>
      <c r="F406" s="14" t="str">
        <f aca="false">IF(E406="","",IF(E406&gt;0,$B$7/E406^2,"invalid"))</f>
        <v/>
      </c>
    </row>
    <row r="407" customFormat="false" ht="15" hidden="false" customHeight="false" outlineLevel="0" collapsed="false">
      <c r="D407" s="12" t="n">
        <v>404</v>
      </c>
      <c r="E407" s="13"/>
      <c r="F407" s="14" t="str">
        <f aca="false">IF(E407="","",IF(E407&gt;0,$B$7/E407^2,"invalid"))</f>
        <v/>
      </c>
    </row>
    <row r="408" customFormat="false" ht="15" hidden="false" customHeight="false" outlineLevel="0" collapsed="false">
      <c r="D408" s="12" t="n">
        <v>405</v>
      </c>
      <c r="E408" s="13"/>
      <c r="F408" s="14" t="str">
        <f aca="false">IF(E408="","",IF(E408&gt;0,$B$7/E408^2,"invalid"))</f>
        <v/>
      </c>
    </row>
    <row r="409" customFormat="false" ht="15" hidden="false" customHeight="false" outlineLevel="0" collapsed="false">
      <c r="D409" s="12" t="n">
        <v>406</v>
      </c>
      <c r="E409" s="13"/>
      <c r="F409" s="14" t="str">
        <f aca="false">IF(E409="","",IF(E409&gt;0,$B$7/E409^2,"invalid"))</f>
        <v/>
      </c>
    </row>
    <row r="410" customFormat="false" ht="15" hidden="false" customHeight="false" outlineLevel="0" collapsed="false">
      <c r="D410" s="12" t="n">
        <v>407</v>
      </c>
      <c r="E410" s="13"/>
      <c r="F410" s="14" t="str">
        <f aca="false">IF(E410="","",IF(E410&gt;0,$B$7/E410^2,"invalid"))</f>
        <v/>
      </c>
    </row>
    <row r="411" customFormat="false" ht="15" hidden="false" customHeight="false" outlineLevel="0" collapsed="false">
      <c r="D411" s="12" t="n">
        <v>408</v>
      </c>
      <c r="E411" s="13"/>
      <c r="F411" s="14" t="str">
        <f aca="false">IF(E411="","",IF(E411&gt;0,$B$7/E411^2,"invalid"))</f>
        <v/>
      </c>
    </row>
    <row r="412" customFormat="false" ht="15" hidden="false" customHeight="false" outlineLevel="0" collapsed="false">
      <c r="D412" s="12" t="n">
        <v>409</v>
      </c>
      <c r="E412" s="13"/>
      <c r="F412" s="14" t="str">
        <f aca="false">IF(E412="","",IF(E412&gt;0,$B$7/E412^2,"invalid"))</f>
        <v/>
      </c>
    </row>
    <row r="413" customFormat="false" ht="15" hidden="false" customHeight="false" outlineLevel="0" collapsed="false">
      <c r="D413" s="12" t="n">
        <v>410</v>
      </c>
      <c r="E413" s="13"/>
      <c r="F413" s="14" t="str">
        <f aca="false">IF(E413="","",IF(E413&gt;0,$B$7/E413^2,"invalid"))</f>
        <v/>
      </c>
    </row>
    <row r="414" customFormat="false" ht="15" hidden="false" customHeight="false" outlineLevel="0" collapsed="false">
      <c r="D414" s="12" t="n">
        <v>411</v>
      </c>
      <c r="E414" s="13"/>
      <c r="F414" s="14" t="str">
        <f aca="false">IF(E414="","",IF(E414&gt;0,$B$7/E414^2,"invalid"))</f>
        <v/>
      </c>
    </row>
    <row r="415" customFormat="false" ht="15" hidden="false" customHeight="false" outlineLevel="0" collapsed="false">
      <c r="D415" s="12" t="n">
        <v>412</v>
      </c>
      <c r="E415" s="13"/>
      <c r="F415" s="14" t="str">
        <f aca="false">IF(E415="","",IF(E415&gt;0,$B$7/E415^2,"invalid"))</f>
        <v/>
      </c>
    </row>
    <row r="416" customFormat="false" ht="15" hidden="false" customHeight="false" outlineLevel="0" collapsed="false">
      <c r="D416" s="12" t="n">
        <v>413</v>
      </c>
      <c r="E416" s="13"/>
      <c r="F416" s="14" t="str">
        <f aca="false">IF(E416="","",IF(E416&gt;0,$B$7/E416^2,"invalid"))</f>
        <v/>
      </c>
    </row>
    <row r="417" customFormat="false" ht="15" hidden="false" customHeight="false" outlineLevel="0" collapsed="false">
      <c r="D417" s="12" t="n">
        <v>414</v>
      </c>
      <c r="E417" s="13"/>
      <c r="F417" s="14" t="str">
        <f aca="false">IF(E417="","",IF(E417&gt;0,$B$7/E417^2,"invalid"))</f>
        <v/>
      </c>
    </row>
    <row r="418" customFormat="false" ht="15" hidden="false" customHeight="false" outlineLevel="0" collapsed="false">
      <c r="D418" s="12" t="n">
        <v>415</v>
      </c>
      <c r="E418" s="13"/>
      <c r="F418" s="14" t="str">
        <f aca="false">IF(E418="","",IF(E418&gt;0,$B$7/E418^2,"invalid"))</f>
        <v/>
      </c>
    </row>
    <row r="419" customFormat="false" ht="15" hidden="false" customHeight="false" outlineLevel="0" collapsed="false">
      <c r="D419" s="12" t="n">
        <v>416</v>
      </c>
      <c r="E419" s="13"/>
      <c r="F419" s="14" t="str">
        <f aca="false">IF(E419="","",IF(E419&gt;0,$B$7/E419^2,"invalid"))</f>
        <v/>
      </c>
    </row>
    <row r="420" customFormat="false" ht="15" hidden="false" customHeight="false" outlineLevel="0" collapsed="false">
      <c r="D420" s="12" t="n">
        <v>417</v>
      </c>
      <c r="E420" s="13"/>
      <c r="F420" s="14" t="str">
        <f aca="false">IF(E420="","",IF(E420&gt;0,$B$7/E420^2,"invalid"))</f>
        <v/>
      </c>
    </row>
    <row r="421" customFormat="false" ht="15" hidden="false" customHeight="false" outlineLevel="0" collapsed="false">
      <c r="D421" s="12" t="n">
        <v>418</v>
      </c>
      <c r="E421" s="13"/>
      <c r="F421" s="14" t="str">
        <f aca="false">IF(E421="","",IF(E421&gt;0,$B$7/E421^2,"invalid"))</f>
        <v/>
      </c>
    </row>
    <row r="422" customFormat="false" ht="15" hidden="false" customHeight="false" outlineLevel="0" collapsed="false">
      <c r="D422" s="12" t="n">
        <v>419</v>
      </c>
      <c r="E422" s="13"/>
      <c r="F422" s="14" t="str">
        <f aca="false">IF(E422="","",IF(E422&gt;0,$B$7/E422^2,"invalid"))</f>
        <v/>
      </c>
    </row>
    <row r="423" customFormat="false" ht="15" hidden="false" customHeight="false" outlineLevel="0" collapsed="false">
      <c r="D423" s="12" t="n">
        <v>420</v>
      </c>
      <c r="E423" s="13"/>
      <c r="F423" s="14" t="str">
        <f aca="false">IF(E423="","",IF(E423&gt;0,$B$7/E423^2,"invalid"))</f>
        <v/>
      </c>
    </row>
    <row r="424" customFormat="false" ht="15" hidden="false" customHeight="false" outlineLevel="0" collapsed="false">
      <c r="D424" s="12" t="n">
        <v>421</v>
      </c>
      <c r="E424" s="13"/>
      <c r="F424" s="14" t="str">
        <f aca="false">IF(E424="","",IF(E424&gt;0,$B$7/E424^2,"invalid"))</f>
        <v/>
      </c>
    </row>
    <row r="425" customFormat="false" ht="15" hidden="false" customHeight="false" outlineLevel="0" collapsed="false">
      <c r="D425" s="12" t="n">
        <v>422</v>
      </c>
      <c r="E425" s="13"/>
      <c r="F425" s="14" t="str">
        <f aca="false">IF(E425="","",IF(E425&gt;0,$B$7/E425^2,"invalid"))</f>
        <v/>
      </c>
    </row>
    <row r="426" customFormat="false" ht="15" hidden="false" customHeight="false" outlineLevel="0" collapsed="false">
      <c r="D426" s="12" t="n">
        <v>423</v>
      </c>
      <c r="E426" s="13"/>
      <c r="F426" s="14" t="str">
        <f aca="false">IF(E426="","",IF(E426&gt;0,$B$7/E426^2,"invalid"))</f>
        <v/>
      </c>
    </row>
    <row r="427" customFormat="false" ht="15" hidden="false" customHeight="false" outlineLevel="0" collapsed="false">
      <c r="D427" s="12" t="n">
        <v>424</v>
      </c>
      <c r="E427" s="13"/>
      <c r="F427" s="14" t="str">
        <f aca="false">IF(E427="","",IF(E427&gt;0,$B$7/E427^2,"invalid"))</f>
        <v/>
      </c>
    </row>
    <row r="428" customFormat="false" ht="15" hidden="false" customHeight="false" outlineLevel="0" collapsed="false">
      <c r="D428" s="12" t="n">
        <v>425</v>
      </c>
      <c r="E428" s="13"/>
      <c r="F428" s="14" t="str">
        <f aca="false">IF(E428="","",IF(E428&gt;0,$B$7/E428^2,"invalid"))</f>
        <v/>
      </c>
    </row>
    <row r="429" customFormat="false" ht="15" hidden="false" customHeight="false" outlineLevel="0" collapsed="false">
      <c r="D429" s="12" t="n">
        <v>426</v>
      </c>
      <c r="E429" s="13"/>
      <c r="F429" s="14" t="str">
        <f aca="false">IF(E429="","",IF(E429&gt;0,$B$7/E429^2,"invalid"))</f>
        <v/>
      </c>
    </row>
    <row r="430" customFormat="false" ht="15" hidden="false" customHeight="false" outlineLevel="0" collapsed="false">
      <c r="D430" s="12" t="n">
        <v>427</v>
      </c>
      <c r="E430" s="13"/>
      <c r="F430" s="14" t="str">
        <f aca="false">IF(E430="","",IF(E430&gt;0,$B$7/E430^2,"invalid"))</f>
        <v/>
      </c>
    </row>
    <row r="431" customFormat="false" ht="15" hidden="false" customHeight="false" outlineLevel="0" collapsed="false">
      <c r="D431" s="12" t="n">
        <v>428</v>
      </c>
      <c r="E431" s="13"/>
      <c r="F431" s="14" t="str">
        <f aca="false">IF(E431="","",IF(E431&gt;0,$B$7/E431^2,"invalid"))</f>
        <v/>
      </c>
    </row>
    <row r="432" customFormat="false" ht="15" hidden="false" customHeight="false" outlineLevel="0" collapsed="false">
      <c r="D432" s="12" t="n">
        <v>429</v>
      </c>
      <c r="E432" s="13"/>
      <c r="F432" s="14" t="str">
        <f aca="false">IF(E432="","",IF(E432&gt;0,$B$7/E432^2,"invalid"))</f>
        <v/>
      </c>
    </row>
    <row r="433" customFormat="false" ht="15" hidden="false" customHeight="false" outlineLevel="0" collapsed="false">
      <c r="D433" s="12" t="n">
        <v>430</v>
      </c>
      <c r="E433" s="13"/>
      <c r="F433" s="14" t="str">
        <f aca="false">IF(E433="","",IF(E433&gt;0,$B$7/E433^2,"invalid"))</f>
        <v/>
      </c>
    </row>
    <row r="434" customFormat="false" ht="15" hidden="false" customHeight="false" outlineLevel="0" collapsed="false">
      <c r="D434" s="12" t="n">
        <v>431</v>
      </c>
      <c r="E434" s="13"/>
      <c r="F434" s="14" t="str">
        <f aca="false">IF(E434="","",IF(E434&gt;0,$B$7/E434^2,"invalid"))</f>
        <v/>
      </c>
    </row>
    <row r="435" customFormat="false" ht="15" hidden="false" customHeight="false" outlineLevel="0" collapsed="false">
      <c r="D435" s="12" t="n">
        <v>432</v>
      </c>
      <c r="E435" s="13"/>
      <c r="F435" s="14" t="str">
        <f aca="false">IF(E435="","",IF(E435&gt;0,$B$7/E435^2,"invalid"))</f>
        <v/>
      </c>
    </row>
    <row r="436" customFormat="false" ht="15" hidden="false" customHeight="false" outlineLevel="0" collapsed="false">
      <c r="D436" s="12" t="n">
        <v>433</v>
      </c>
      <c r="E436" s="13"/>
      <c r="F436" s="14" t="str">
        <f aca="false">IF(E436="","",IF(E436&gt;0,$B$7/E436^2,"invalid"))</f>
        <v/>
      </c>
    </row>
    <row r="437" customFormat="false" ht="15" hidden="false" customHeight="false" outlineLevel="0" collapsed="false">
      <c r="D437" s="12" t="n">
        <v>434</v>
      </c>
      <c r="E437" s="13"/>
      <c r="F437" s="14" t="str">
        <f aca="false">IF(E437="","",IF(E437&gt;0,$B$7/E437^2,"invalid"))</f>
        <v/>
      </c>
    </row>
    <row r="438" customFormat="false" ht="15" hidden="false" customHeight="false" outlineLevel="0" collapsed="false">
      <c r="D438" s="12" t="n">
        <v>435</v>
      </c>
      <c r="E438" s="13"/>
      <c r="F438" s="14" t="str">
        <f aca="false">IF(E438="","",IF(E438&gt;0,$B$7/E438^2,"invalid"))</f>
        <v/>
      </c>
    </row>
    <row r="439" customFormat="false" ht="15" hidden="false" customHeight="false" outlineLevel="0" collapsed="false">
      <c r="D439" s="12" t="n">
        <v>436</v>
      </c>
      <c r="E439" s="13"/>
      <c r="F439" s="14" t="str">
        <f aca="false">IF(E439="","",IF(E439&gt;0,$B$7/E439^2,"invalid"))</f>
        <v/>
      </c>
    </row>
    <row r="440" customFormat="false" ht="15" hidden="false" customHeight="false" outlineLevel="0" collapsed="false">
      <c r="D440" s="12" t="n">
        <v>437</v>
      </c>
      <c r="E440" s="13"/>
      <c r="F440" s="14" t="str">
        <f aca="false">IF(E440="","",IF(E440&gt;0,$B$7/E440^2,"invalid"))</f>
        <v/>
      </c>
    </row>
    <row r="441" customFormat="false" ht="15" hidden="false" customHeight="false" outlineLevel="0" collapsed="false">
      <c r="D441" s="12" t="n">
        <v>438</v>
      </c>
      <c r="E441" s="13"/>
      <c r="F441" s="14" t="str">
        <f aca="false">IF(E441="","",IF(E441&gt;0,$B$7/E441^2,"invalid"))</f>
        <v/>
      </c>
    </row>
    <row r="442" customFormat="false" ht="15" hidden="false" customHeight="false" outlineLevel="0" collapsed="false">
      <c r="D442" s="12" t="n">
        <v>439</v>
      </c>
      <c r="E442" s="13"/>
      <c r="F442" s="14" t="str">
        <f aca="false">IF(E442="","",IF(E442&gt;0,$B$7/E442^2,"invalid"))</f>
        <v/>
      </c>
    </row>
    <row r="443" customFormat="false" ht="15" hidden="false" customHeight="false" outlineLevel="0" collapsed="false">
      <c r="D443" s="12" t="n">
        <v>440</v>
      </c>
      <c r="E443" s="13"/>
      <c r="F443" s="14" t="str">
        <f aca="false">IF(E443="","",IF(E443&gt;0,$B$7/E443^2,"invalid"))</f>
        <v/>
      </c>
    </row>
    <row r="444" customFormat="false" ht="15" hidden="false" customHeight="false" outlineLevel="0" collapsed="false">
      <c r="D444" s="12" t="n">
        <v>441</v>
      </c>
      <c r="E444" s="13"/>
      <c r="F444" s="14" t="str">
        <f aca="false">IF(E444="","",IF(E444&gt;0,$B$7/E444^2,"invalid"))</f>
        <v/>
      </c>
    </row>
    <row r="445" customFormat="false" ht="15" hidden="false" customHeight="false" outlineLevel="0" collapsed="false">
      <c r="D445" s="12" t="n">
        <v>442</v>
      </c>
      <c r="E445" s="13"/>
      <c r="F445" s="14" t="str">
        <f aca="false">IF(E445="","",IF(E445&gt;0,$B$7/E445^2,"invalid"))</f>
        <v/>
      </c>
    </row>
    <row r="446" customFormat="false" ht="15" hidden="false" customHeight="false" outlineLevel="0" collapsed="false">
      <c r="D446" s="12" t="n">
        <v>443</v>
      </c>
      <c r="E446" s="13"/>
      <c r="F446" s="14" t="str">
        <f aca="false">IF(E446="","",IF(E446&gt;0,$B$7/E446^2,"invalid"))</f>
        <v/>
      </c>
    </row>
    <row r="447" customFormat="false" ht="15" hidden="false" customHeight="false" outlineLevel="0" collapsed="false">
      <c r="D447" s="12" t="n">
        <v>444</v>
      </c>
      <c r="E447" s="13"/>
      <c r="F447" s="14" t="str">
        <f aca="false">IF(E447="","",IF(E447&gt;0,$B$7/E447^2,"invalid"))</f>
        <v/>
      </c>
    </row>
    <row r="448" customFormat="false" ht="15" hidden="false" customHeight="false" outlineLevel="0" collapsed="false">
      <c r="D448" s="12" t="n">
        <v>445</v>
      </c>
      <c r="E448" s="13"/>
      <c r="F448" s="14" t="str">
        <f aca="false">IF(E448="","",IF(E448&gt;0,$B$7/E448^2,"invalid"))</f>
        <v/>
      </c>
    </row>
    <row r="449" customFormat="false" ht="15" hidden="false" customHeight="false" outlineLevel="0" collapsed="false">
      <c r="D449" s="12" t="n">
        <v>446</v>
      </c>
      <c r="E449" s="13"/>
      <c r="F449" s="14" t="str">
        <f aca="false">IF(E449="","",IF(E449&gt;0,$B$7/E449^2,"invalid"))</f>
        <v/>
      </c>
    </row>
    <row r="450" customFormat="false" ht="15" hidden="false" customHeight="false" outlineLevel="0" collapsed="false">
      <c r="D450" s="12" t="n">
        <v>447</v>
      </c>
      <c r="E450" s="13"/>
      <c r="F450" s="14" t="str">
        <f aca="false">IF(E450="","",IF(E450&gt;0,$B$7/E450^2,"invalid"))</f>
        <v/>
      </c>
    </row>
    <row r="451" customFormat="false" ht="15" hidden="false" customHeight="false" outlineLevel="0" collapsed="false">
      <c r="D451" s="12" t="n">
        <v>448</v>
      </c>
      <c r="E451" s="13"/>
      <c r="F451" s="14" t="str">
        <f aca="false">IF(E451="","",IF(E451&gt;0,$B$7/E451^2,"invalid"))</f>
        <v/>
      </c>
    </row>
    <row r="452" customFormat="false" ht="15" hidden="false" customHeight="false" outlineLevel="0" collapsed="false">
      <c r="D452" s="12" t="n">
        <v>449</v>
      </c>
      <c r="E452" s="13"/>
      <c r="F452" s="14" t="str">
        <f aca="false">IF(E452="","",IF(E452&gt;0,$B$7/E452^2,"invalid"))</f>
        <v/>
      </c>
    </row>
    <row r="453" customFormat="false" ht="15" hidden="false" customHeight="false" outlineLevel="0" collapsed="false">
      <c r="D453" s="12" t="n">
        <v>450</v>
      </c>
      <c r="E453" s="13"/>
      <c r="F453" s="14" t="str">
        <f aca="false">IF(E453="","",IF(E453&gt;0,$B$7/E453^2,"invalid"))</f>
        <v/>
      </c>
    </row>
    <row r="454" customFormat="false" ht="15" hidden="false" customHeight="false" outlineLevel="0" collapsed="false">
      <c r="D454" s="12" t="n">
        <v>451</v>
      </c>
      <c r="E454" s="13"/>
      <c r="F454" s="14" t="str">
        <f aca="false">IF(E454="","",IF(E454&gt;0,$B$7/E454^2,"invalid"))</f>
        <v/>
      </c>
    </row>
    <row r="455" customFormat="false" ht="15" hidden="false" customHeight="false" outlineLevel="0" collapsed="false">
      <c r="D455" s="12" t="n">
        <v>452</v>
      </c>
      <c r="E455" s="13"/>
      <c r="F455" s="14" t="str">
        <f aca="false">IF(E455="","",IF(E455&gt;0,$B$7/E455^2,"invalid"))</f>
        <v/>
      </c>
    </row>
    <row r="456" customFormat="false" ht="15" hidden="false" customHeight="false" outlineLevel="0" collapsed="false">
      <c r="D456" s="12" t="n">
        <v>453</v>
      </c>
      <c r="E456" s="13"/>
      <c r="F456" s="14" t="str">
        <f aca="false">IF(E456="","",IF(E456&gt;0,$B$7/E456^2,"invalid"))</f>
        <v/>
      </c>
    </row>
    <row r="457" customFormat="false" ht="15" hidden="false" customHeight="false" outlineLevel="0" collapsed="false">
      <c r="D457" s="12" t="n">
        <v>454</v>
      </c>
      <c r="E457" s="13"/>
      <c r="F457" s="14" t="str">
        <f aca="false">IF(E457="","",IF(E457&gt;0,$B$7/E457^2,"invalid"))</f>
        <v/>
      </c>
    </row>
    <row r="458" customFormat="false" ht="15" hidden="false" customHeight="false" outlineLevel="0" collapsed="false">
      <c r="D458" s="12" t="n">
        <v>455</v>
      </c>
      <c r="E458" s="13"/>
      <c r="F458" s="14" t="str">
        <f aca="false">IF(E458="","",IF(E458&gt;0,$B$7/E458^2,"invalid"))</f>
        <v/>
      </c>
    </row>
    <row r="459" customFormat="false" ht="15" hidden="false" customHeight="false" outlineLevel="0" collapsed="false">
      <c r="D459" s="12" t="n">
        <v>456</v>
      </c>
      <c r="E459" s="13"/>
      <c r="F459" s="14" t="str">
        <f aca="false">IF(E459="","",IF(E459&gt;0,$B$7/E459^2,"invalid"))</f>
        <v/>
      </c>
    </row>
    <row r="460" customFormat="false" ht="15" hidden="false" customHeight="false" outlineLevel="0" collapsed="false">
      <c r="D460" s="12" t="n">
        <v>457</v>
      </c>
      <c r="E460" s="13"/>
      <c r="F460" s="14" t="str">
        <f aca="false">IF(E460="","",IF(E460&gt;0,$B$7/E460^2,"invalid"))</f>
        <v/>
      </c>
    </row>
    <row r="461" customFormat="false" ht="15" hidden="false" customHeight="false" outlineLevel="0" collapsed="false">
      <c r="D461" s="12" t="n">
        <v>458</v>
      </c>
      <c r="E461" s="13"/>
      <c r="F461" s="14" t="str">
        <f aca="false">IF(E461="","",IF(E461&gt;0,$B$7/E461^2,"invalid"))</f>
        <v/>
      </c>
    </row>
    <row r="462" customFormat="false" ht="15" hidden="false" customHeight="false" outlineLevel="0" collapsed="false">
      <c r="D462" s="12" t="n">
        <v>459</v>
      </c>
      <c r="E462" s="13"/>
      <c r="F462" s="14" t="str">
        <f aca="false">IF(E462="","",IF(E462&gt;0,$B$7/E462^2,"invalid"))</f>
        <v/>
      </c>
    </row>
    <row r="463" customFormat="false" ht="15" hidden="false" customHeight="false" outlineLevel="0" collapsed="false">
      <c r="D463" s="12" t="n">
        <v>460</v>
      </c>
      <c r="E463" s="13"/>
      <c r="F463" s="14" t="str">
        <f aca="false">IF(E463="","",IF(E463&gt;0,$B$7/E463^2,"invalid"))</f>
        <v/>
      </c>
    </row>
    <row r="464" customFormat="false" ht="15" hidden="false" customHeight="false" outlineLevel="0" collapsed="false">
      <c r="D464" s="12" t="n">
        <v>461</v>
      </c>
      <c r="E464" s="13"/>
      <c r="F464" s="14" t="str">
        <f aca="false">IF(E464="","",IF(E464&gt;0,$B$7/E464^2,"invalid"))</f>
        <v/>
      </c>
    </row>
    <row r="465" customFormat="false" ht="15" hidden="false" customHeight="false" outlineLevel="0" collapsed="false">
      <c r="D465" s="12" t="n">
        <v>462</v>
      </c>
      <c r="E465" s="13"/>
      <c r="F465" s="14" t="str">
        <f aca="false">IF(E465="","",IF(E465&gt;0,$B$7/E465^2,"invalid"))</f>
        <v/>
      </c>
    </row>
    <row r="466" customFormat="false" ht="15" hidden="false" customHeight="false" outlineLevel="0" collapsed="false">
      <c r="D466" s="12" t="n">
        <v>463</v>
      </c>
      <c r="E466" s="13"/>
      <c r="F466" s="14" t="str">
        <f aca="false">IF(E466="","",IF(E466&gt;0,$B$7/E466^2,"invalid"))</f>
        <v/>
      </c>
    </row>
    <row r="467" customFormat="false" ht="15" hidden="false" customHeight="false" outlineLevel="0" collapsed="false">
      <c r="D467" s="12" t="n">
        <v>464</v>
      </c>
      <c r="E467" s="13"/>
      <c r="F467" s="14" t="str">
        <f aca="false">IF(E467="","",IF(E467&gt;0,$B$7/E467^2,"invalid"))</f>
        <v/>
      </c>
    </row>
    <row r="468" customFormat="false" ht="15" hidden="false" customHeight="false" outlineLevel="0" collapsed="false">
      <c r="D468" s="12" t="n">
        <v>465</v>
      </c>
      <c r="E468" s="13"/>
      <c r="F468" s="14" t="str">
        <f aca="false">IF(E468="","",IF(E468&gt;0,$B$7/E468^2,"invalid"))</f>
        <v/>
      </c>
    </row>
    <row r="469" customFormat="false" ht="15" hidden="false" customHeight="false" outlineLevel="0" collapsed="false">
      <c r="D469" s="12" t="n">
        <v>466</v>
      </c>
      <c r="E469" s="13"/>
      <c r="F469" s="14" t="str">
        <f aca="false">IF(E469="","",IF(E469&gt;0,$B$7/E469^2,"invalid"))</f>
        <v/>
      </c>
    </row>
    <row r="470" customFormat="false" ht="15" hidden="false" customHeight="false" outlineLevel="0" collapsed="false">
      <c r="D470" s="12" t="n">
        <v>467</v>
      </c>
      <c r="E470" s="13"/>
      <c r="F470" s="14" t="str">
        <f aca="false">IF(E470="","",IF(E470&gt;0,$B$7/E470^2,"invalid"))</f>
        <v/>
      </c>
    </row>
    <row r="471" customFormat="false" ht="15" hidden="false" customHeight="false" outlineLevel="0" collapsed="false">
      <c r="D471" s="12" t="n">
        <v>468</v>
      </c>
      <c r="E471" s="13"/>
      <c r="F471" s="14" t="str">
        <f aca="false">IF(E471="","",IF(E471&gt;0,$B$7/E471^2,"invalid"))</f>
        <v/>
      </c>
    </row>
    <row r="472" customFormat="false" ht="15" hidden="false" customHeight="false" outlineLevel="0" collapsed="false">
      <c r="D472" s="12" t="n">
        <v>469</v>
      </c>
      <c r="E472" s="13"/>
      <c r="F472" s="14" t="str">
        <f aca="false">IF(E472="","",IF(E472&gt;0,$B$7/E472^2,"invalid"))</f>
        <v/>
      </c>
    </row>
    <row r="473" customFormat="false" ht="15" hidden="false" customHeight="false" outlineLevel="0" collapsed="false">
      <c r="D473" s="12" t="n">
        <v>470</v>
      </c>
      <c r="E473" s="13"/>
      <c r="F473" s="14" t="str">
        <f aca="false">IF(E473="","",IF(E473&gt;0,$B$7/E473^2,"invalid"))</f>
        <v/>
      </c>
    </row>
    <row r="474" customFormat="false" ht="15" hidden="false" customHeight="false" outlineLevel="0" collapsed="false">
      <c r="D474" s="12" t="n">
        <v>471</v>
      </c>
      <c r="E474" s="13"/>
      <c r="F474" s="14" t="str">
        <f aca="false">IF(E474="","",IF(E474&gt;0,$B$7/E474^2,"invalid"))</f>
        <v/>
      </c>
    </row>
    <row r="475" customFormat="false" ht="15" hidden="false" customHeight="false" outlineLevel="0" collapsed="false">
      <c r="D475" s="12" t="n">
        <v>472</v>
      </c>
      <c r="E475" s="13"/>
      <c r="F475" s="14" t="str">
        <f aca="false">IF(E475="","",IF(E475&gt;0,$B$7/E475^2,"invalid"))</f>
        <v/>
      </c>
    </row>
    <row r="476" customFormat="false" ht="15" hidden="false" customHeight="false" outlineLevel="0" collapsed="false">
      <c r="D476" s="12" t="n">
        <v>473</v>
      </c>
      <c r="E476" s="13"/>
      <c r="F476" s="14" t="str">
        <f aca="false">IF(E476="","",IF(E476&gt;0,$B$7/E476^2,"invalid"))</f>
        <v/>
      </c>
    </row>
    <row r="477" customFormat="false" ht="15" hidden="false" customHeight="false" outlineLevel="0" collapsed="false">
      <c r="D477" s="12" t="n">
        <v>474</v>
      </c>
      <c r="E477" s="13"/>
      <c r="F477" s="14" t="str">
        <f aca="false">IF(E477="","",IF(E477&gt;0,$B$7/E477^2,"invalid"))</f>
        <v/>
      </c>
    </row>
    <row r="478" customFormat="false" ht="15" hidden="false" customHeight="false" outlineLevel="0" collapsed="false">
      <c r="D478" s="12" t="n">
        <v>475</v>
      </c>
      <c r="E478" s="13"/>
      <c r="F478" s="14" t="str">
        <f aca="false">IF(E478="","",IF(E478&gt;0,$B$7/E478^2,"invalid"))</f>
        <v/>
      </c>
    </row>
    <row r="479" customFormat="false" ht="15" hidden="false" customHeight="false" outlineLevel="0" collapsed="false">
      <c r="D479" s="12" t="n">
        <v>476</v>
      </c>
      <c r="E479" s="13"/>
      <c r="F479" s="14" t="str">
        <f aca="false">IF(E479="","",IF(E479&gt;0,$B$7/E479^2,"invalid"))</f>
        <v/>
      </c>
    </row>
    <row r="480" customFormat="false" ht="15" hidden="false" customHeight="false" outlineLevel="0" collapsed="false">
      <c r="D480" s="12" t="n">
        <v>477</v>
      </c>
      <c r="E480" s="13"/>
      <c r="F480" s="14" t="str">
        <f aca="false">IF(E480="","",IF(E480&gt;0,$B$7/E480^2,"invalid"))</f>
        <v/>
      </c>
    </row>
    <row r="481" customFormat="false" ht="15" hidden="false" customHeight="false" outlineLevel="0" collapsed="false">
      <c r="D481" s="12" t="n">
        <v>478</v>
      </c>
      <c r="E481" s="13"/>
      <c r="F481" s="14" t="str">
        <f aca="false">IF(E481="","",IF(E481&gt;0,$B$7/E481^2,"invalid"))</f>
        <v/>
      </c>
    </row>
    <row r="482" customFormat="false" ht="15" hidden="false" customHeight="false" outlineLevel="0" collapsed="false">
      <c r="D482" s="12" t="n">
        <v>479</v>
      </c>
      <c r="E482" s="13"/>
      <c r="F482" s="14" t="str">
        <f aca="false">IF(E482="","",IF(E482&gt;0,$B$7/E482^2,"invalid"))</f>
        <v/>
      </c>
    </row>
    <row r="483" customFormat="false" ht="15" hidden="false" customHeight="false" outlineLevel="0" collapsed="false">
      <c r="D483" s="12" t="n">
        <v>480</v>
      </c>
      <c r="E483" s="13"/>
      <c r="F483" s="14" t="str">
        <f aca="false">IF(E483="","",IF(E483&gt;0,$B$7/E483^2,"invalid"))</f>
        <v/>
      </c>
    </row>
    <row r="484" customFormat="false" ht="15" hidden="false" customHeight="false" outlineLevel="0" collapsed="false">
      <c r="D484" s="12" t="n">
        <v>481</v>
      </c>
      <c r="E484" s="13"/>
      <c r="F484" s="14" t="str">
        <f aca="false">IF(E484="","",IF(E484&gt;0,$B$7/E484^2,"invalid"))</f>
        <v/>
      </c>
    </row>
    <row r="485" customFormat="false" ht="15" hidden="false" customHeight="false" outlineLevel="0" collapsed="false">
      <c r="D485" s="12" t="n">
        <v>482</v>
      </c>
      <c r="E485" s="13"/>
      <c r="F485" s="14" t="str">
        <f aca="false">IF(E485="","",IF(E485&gt;0,$B$7/E485^2,"invalid"))</f>
        <v/>
      </c>
    </row>
    <row r="486" customFormat="false" ht="15" hidden="false" customHeight="false" outlineLevel="0" collapsed="false">
      <c r="D486" s="12" t="n">
        <v>483</v>
      </c>
      <c r="E486" s="13"/>
      <c r="F486" s="14" t="str">
        <f aca="false">IF(E486="","",IF(E486&gt;0,$B$7/E486^2,"invalid"))</f>
        <v/>
      </c>
    </row>
    <row r="487" customFormat="false" ht="15" hidden="false" customHeight="false" outlineLevel="0" collapsed="false">
      <c r="D487" s="12" t="n">
        <v>484</v>
      </c>
      <c r="E487" s="13"/>
      <c r="F487" s="14" t="str">
        <f aca="false">IF(E487="","",IF(E487&gt;0,$B$7/E487^2,"invalid"))</f>
        <v/>
      </c>
    </row>
    <row r="488" customFormat="false" ht="15" hidden="false" customHeight="false" outlineLevel="0" collapsed="false">
      <c r="D488" s="12" t="n">
        <v>485</v>
      </c>
      <c r="E488" s="13"/>
      <c r="F488" s="14" t="str">
        <f aca="false">IF(E488="","",IF(E488&gt;0,$B$7/E488^2,"invalid"))</f>
        <v/>
      </c>
    </row>
    <row r="489" customFormat="false" ht="15" hidden="false" customHeight="false" outlineLevel="0" collapsed="false">
      <c r="D489" s="12" t="n">
        <v>486</v>
      </c>
      <c r="E489" s="13"/>
      <c r="F489" s="14" t="str">
        <f aca="false">IF(E489="","",IF(E489&gt;0,$B$7/E489^2,"invalid"))</f>
        <v/>
      </c>
    </row>
    <row r="490" customFormat="false" ht="15" hidden="false" customHeight="false" outlineLevel="0" collapsed="false">
      <c r="D490" s="12" t="n">
        <v>487</v>
      </c>
      <c r="E490" s="13"/>
      <c r="F490" s="14" t="str">
        <f aca="false">IF(E490="","",IF(E490&gt;0,$B$7/E490^2,"invalid"))</f>
        <v/>
      </c>
    </row>
    <row r="491" customFormat="false" ht="15" hidden="false" customHeight="false" outlineLevel="0" collapsed="false">
      <c r="D491" s="12" t="n">
        <v>488</v>
      </c>
      <c r="E491" s="13"/>
      <c r="F491" s="14" t="str">
        <f aca="false">IF(E491="","",IF(E491&gt;0,$B$7/E491^2,"invalid"))</f>
        <v/>
      </c>
    </row>
    <row r="492" customFormat="false" ht="15" hidden="false" customHeight="false" outlineLevel="0" collapsed="false">
      <c r="D492" s="12" t="n">
        <v>489</v>
      </c>
      <c r="E492" s="13"/>
      <c r="F492" s="14" t="str">
        <f aca="false">IF(E492="","",IF(E492&gt;0,$B$7/E492^2,"invalid"))</f>
        <v/>
      </c>
    </row>
    <row r="493" customFormat="false" ht="15" hidden="false" customHeight="false" outlineLevel="0" collapsed="false">
      <c r="D493" s="12" t="n">
        <v>490</v>
      </c>
      <c r="E493" s="13"/>
      <c r="F493" s="14" t="str">
        <f aca="false">IF(E493="","",IF(E493&gt;0,$B$7/E493^2,"invalid"))</f>
        <v/>
      </c>
    </row>
    <row r="494" customFormat="false" ht="15" hidden="false" customHeight="false" outlineLevel="0" collapsed="false">
      <c r="D494" s="12" t="n">
        <v>491</v>
      </c>
      <c r="E494" s="13"/>
      <c r="F494" s="14" t="str">
        <f aca="false">IF(E494="","",IF(E494&gt;0,$B$7/E494^2,"invalid"))</f>
        <v/>
      </c>
    </row>
    <row r="495" customFormat="false" ht="15" hidden="false" customHeight="false" outlineLevel="0" collapsed="false">
      <c r="D495" s="12" t="n">
        <v>492</v>
      </c>
      <c r="E495" s="13"/>
      <c r="F495" s="14" t="str">
        <f aca="false">IF(E495="","",IF(E495&gt;0,$B$7/E495^2,"invalid"))</f>
        <v/>
      </c>
    </row>
    <row r="496" customFormat="false" ht="15" hidden="false" customHeight="false" outlineLevel="0" collapsed="false">
      <c r="D496" s="12" t="n">
        <v>493</v>
      </c>
      <c r="E496" s="13"/>
      <c r="F496" s="14" t="str">
        <f aca="false">IF(E496="","",IF(E496&gt;0,$B$7/E496^2,"invalid"))</f>
        <v/>
      </c>
    </row>
    <row r="497" customFormat="false" ht="15" hidden="false" customHeight="false" outlineLevel="0" collapsed="false">
      <c r="D497" s="12" t="n">
        <v>494</v>
      </c>
      <c r="E497" s="13"/>
      <c r="F497" s="14" t="str">
        <f aca="false">IF(E497="","",IF(E497&gt;0,$B$7/E497^2,"invalid"))</f>
        <v/>
      </c>
    </row>
    <row r="498" customFormat="false" ht="15" hidden="false" customHeight="false" outlineLevel="0" collapsed="false">
      <c r="D498" s="12" t="n">
        <v>495</v>
      </c>
      <c r="E498" s="13"/>
      <c r="F498" s="14" t="str">
        <f aca="false">IF(E498="","",IF(E498&gt;0,$B$7/E498^2,"invalid"))</f>
        <v/>
      </c>
    </row>
    <row r="499" customFormat="false" ht="15" hidden="false" customHeight="false" outlineLevel="0" collapsed="false">
      <c r="D499" s="12" t="n">
        <v>496</v>
      </c>
      <c r="E499" s="13"/>
      <c r="F499" s="14" t="str">
        <f aca="false">IF(E499="","",IF(E499&gt;0,$B$7/E499^2,"invalid"))</f>
        <v/>
      </c>
    </row>
    <row r="500" customFormat="false" ht="15" hidden="false" customHeight="false" outlineLevel="0" collapsed="false">
      <c r="D500" s="12" t="n">
        <v>497</v>
      </c>
      <c r="E500" s="13"/>
      <c r="F500" s="14" t="str">
        <f aca="false">IF(E500="","",IF(E500&gt;0,$B$7/E500^2,"invalid"))</f>
        <v/>
      </c>
    </row>
    <row r="501" customFormat="false" ht="15" hidden="false" customHeight="false" outlineLevel="0" collapsed="false">
      <c r="D501" s="12" t="n">
        <v>498</v>
      </c>
      <c r="E501" s="13"/>
      <c r="F501" s="14" t="str">
        <f aca="false">IF(E501="","",IF(E501&gt;0,$B$7/E501^2,"invalid"))</f>
        <v/>
      </c>
    </row>
    <row r="502" customFormat="false" ht="15" hidden="false" customHeight="false" outlineLevel="0" collapsed="false">
      <c r="D502" s="12" t="n">
        <v>499</v>
      </c>
      <c r="E502" s="13"/>
      <c r="F502" s="14" t="str">
        <f aca="false">IF(E502="","",IF(E502&gt;0,$B$7/E502^2,"invalid"))</f>
        <v/>
      </c>
    </row>
    <row r="503" customFormat="false" ht="15" hidden="false" customHeight="false" outlineLevel="0" collapsed="false">
      <c r="D503" s="12" t="n">
        <v>500</v>
      </c>
      <c r="E503" s="13"/>
      <c r="F503" s="14" t="str">
        <f aca="false">IF(E503="","",IF(E503&gt;0,$B$7/E503^2,"invalid"))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3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E2" s="2" t="s">
        <v>34</v>
      </c>
      <c r="H2" s="2" t="s">
        <v>35</v>
      </c>
    </row>
    <row r="3" customFormat="false" ht="30" hidden="false" customHeight="true" outlineLevel="0" collapsed="false">
      <c r="A3" s="8" t="s">
        <v>70</v>
      </c>
      <c r="B3" s="9" t="n">
        <v>5</v>
      </c>
      <c r="D3" s="10" t="s">
        <v>37</v>
      </c>
      <c r="E3" s="10" t="s">
        <v>71</v>
      </c>
      <c r="F3" s="10" t="s">
        <v>39</v>
      </c>
      <c r="H3" s="11" t="s">
        <v>40</v>
      </c>
      <c r="I3" s="11" t="s">
        <v>41</v>
      </c>
      <c r="J3" s="11" t="s">
        <v>21</v>
      </c>
    </row>
    <row r="4" customFormat="false" ht="15" hidden="false" customHeight="false" outlineLevel="0" collapsed="false">
      <c r="A4" s="2" t="s">
        <v>67</v>
      </c>
      <c r="B4" s="18"/>
      <c r="D4" s="12" t="n">
        <v>1</v>
      </c>
      <c r="E4" s="13" t="n">
        <v>0.82</v>
      </c>
      <c r="F4" s="14" t="n">
        <f aca="false">IF(E4="","",$B$7*E4^2)</f>
        <v>8.0688</v>
      </c>
      <c r="H4" s="15" t="n">
        <f aca="false">0+0*1.5*$B$3/40</f>
        <v>0</v>
      </c>
      <c r="I4" s="16" t="n">
        <f aca="false">$B$7*H4^2</f>
        <v>0</v>
      </c>
      <c r="J4" s="16" t="n">
        <f aca="false">$B$5</f>
        <v>300</v>
      </c>
    </row>
    <row r="5" customFormat="false" ht="15" hidden="false" customHeight="false" outlineLevel="0" collapsed="false">
      <c r="A5" s="8" t="s">
        <v>72</v>
      </c>
      <c r="B5" s="17" t="n">
        <v>300</v>
      </c>
      <c r="D5" s="12" t="n">
        <v>2</v>
      </c>
      <c r="E5" s="13" t="n">
        <v>0.83</v>
      </c>
      <c r="F5" s="14" t="n">
        <f aca="false">IF(E5="","",$B$7*E5^2)</f>
        <v>8.2668</v>
      </c>
      <c r="H5" s="15" t="n">
        <f aca="false">0+1*1.5*$B$3/40</f>
        <v>0.1875</v>
      </c>
      <c r="I5" s="16" t="n">
        <f aca="false">$B$7*H5^2</f>
        <v>0.421875</v>
      </c>
      <c r="J5" s="16" t="n">
        <f aca="false">$B$5</f>
        <v>300</v>
      </c>
    </row>
    <row r="6" customFormat="false" ht="15" hidden="false" customHeight="false" outlineLevel="0" collapsed="false">
      <c r="B6" s="18"/>
      <c r="D6" s="12" t="n">
        <v>3</v>
      </c>
      <c r="E6" s="13" t="n">
        <v>0.88</v>
      </c>
      <c r="F6" s="14" t="n">
        <f aca="false">IF(E6="","",$B$7*E6^2)</f>
        <v>9.2928</v>
      </c>
      <c r="H6" s="15" t="n">
        <f aca="false">0+2*1.5*$B$3/40</f>
        <v>0.375</v>
      </c>
      <c r="I6" s="16" t="n">
        <f aca="false">$B$7*H6^2</f>
        <v>1.6875</v>
      </c>
      <c r="J6" s="16" t="n">
        <f aca="false">$B$5</f>
        <v>300</v>
      </c>
    </row>
    <row r="7" customFormat="false" ht="15" hidden="false" customHeight="false" outlineLevel="0" collapsed="false">
      <c r="A7" s="19" t="s">
        <v>44</v>
      </c>
      <c r="B7" s="20" t="n">
        <f aca="false">$B$5/$B$3^2</f>
        <v>12</v>
      </c>
      <c r="D7" s="12" t="n">
        <v>4</v>
      </c>
      <c r="E7" s="13" t="n">
        <v>1.17</v>
      </c>
      <c r="F7" s="14" t="n">
        <f aca="false">IF(E7="","",$B$7*E7^2)</f>
        <v>16.4268</v>
      </c>
      <c r="H7" s="15" t="n">
        <f aca="false">0+3*1.5*$B$3/40</f>
        <v>0.5625</v>
      </c>
      <c r="I7" s="16" t="n">
        <f aca="false">$B$7*H7^2</f>
        <v>3.796875</v>
      </c>
      <c r="J7" s="16" t="n">
        <f aca="false">$B$5</f>
        <v>300</v>
      </c>
    </row>
    <row r="8" customFormat="false" ht="15" hidden="false" customHeight="false" outlineLevel="0" collapsed="false">
      <c r="B8" s="18"/>
      <c r="D8" s="12" t="n">
        <v>5</v>
      </c>
      <c r="E8" s="13" t="n">
        <v>0.65</v>
      </c>
      <c r="F8" s="14" t="n">
        <f aca="false">IF(E8="","",$B$7*E8^2)</f>
        <v>5.07</v>
      </c>
      <c r="H8" s="15" t="n">
        <f aca="false">0+4*1.5*$B$3/40</f>
        <v>0.75</v>
      </c>
      <c r="I8" s="16" t="n">
        <f aca="false">$B$7*H8^2</f>
        <v>6.75</v>
      </c>
      <c r="J8" s="16" t="n">
        <f aca="false">$B$5</f>
        <v>300</v>
      </c>
    </row>
    <row r="9" customFormat="false" ht="15" hidden="false" customHeight="false" outlineLevel="0" collapsed="false">
      <c r="A9" s="8" t="s">
        <v>45</v>
      </c>
      <c r="B9" s="9" t="n">
        <v>3.2</v>
      </c>
      <c r="D9" s="12" t="n">
        <v>6</v>
      </c>
      <c r="E9" s="13" t="n">
        <v>0.36</v>
      </c>
      <c r="F9" s="14" t="n">
        <f aca="false">IF(E9="","",$B$7*E9^2)</f>
        <v>1.5552</v>
      </c>
      <c r="H9" s="15" t="n">
        <f aca="false">0+5*1.5*$B$3/40</f>
        <v>0.9375</v>
      </c>
      <c r="I9" s="16" t="n">
        <f aca="false">$B$7*H9^2</f>
        <v>10.546875</v>
      </c>
      <c r="J9" s="16" t="n">
        <f aca="false">$B$5</f>
        <v>300</v>
      </c>
    </row>
    <row r="10" customFormat="false" ht="15" hidden="false" customHeight="false" outlineLevel="0" collapsed="false">
      <c r="A10" s="19" t="s">
        <v>46</v>
      </c>
      <c r="B10" s="21" t="n">
        <f aca="false">IF(B9="","",$B$7*B9^2)</f>
        <v>122.88</v>
      </c>
      <c r="D10" s="12" t="n">
        <v>7</v>
      </c>
      <c r="E10" s="13" t="n">
        <v>6.95</v>
      </c>
      <c r="F10" s="14" t="n">
        <f aca="false">IF(E10="","",$B$7*E10^2)</f>
        <v>579.63</v>
      </c>
      <c r="H10" s="15" t="n">
        <f aca="false">0+6*1.5*$B$3/40</f>
        <v>1.125</v>
      </c>
      <c r="I10" s="16" t="n">
        <f aca="false">$B$7*H10^2</f>
        <v>15.1875</v>
      </c>
      <c r="J10" s="16" t="n">
        <f aca="false">$B$5</f>
        <v>300</v>
      </c>
    </row>
    <row r="11" customFormat="false" ht="15" hidden="false" customHeight="false" outlineLevel="0" collapsed="false">
      <c r="A11" s="8" t="s">
        <v>47</v>
      </c>
      <c r="B11" s="22" t="n">
        <f aca="false">IF(OR(B10="",ISTEXT(B10)),"",B10/$B$5)</f>
        <v>0.4096</v>
      </c>
      <c r="D11" s="12" t="n">
        <v>8</v>
      </c>
      <c r="E11" s="13" t="n">
        <v>3.85</v>
      </c>
      <c r="F11" s="14" t="n">
        <f aca="false">IF(E11="","",$B$7*E11^2)</f>
        <v>177.87</v>
      </c>
      <c r="H11" s="15" t="n">
        <f aca="false">0+7*1.5*$B$3/40</f>
        <v>1.3125</v>
      </c>
      <c r="I11" s="16" t="n">
        <f aca="false">$B$7*H11^2</f>
        <v>20.671875</v>
      </c>
      <c r="J11" s="16" t="n">
        <f aca="false">$B$5</f>
        <v>300</v>
      </c>
    </row>
    <row r="12" customFormat="false" ht="15" hidden="false" customHeight="false" outlineLevel="0" collapsed="false">
      <c r="A12" s="8" t="s">
        <v>48</v>
      </c>
      <c r="B12" s="18" t="str">
        <f aca="false">IF(B9="","",IF(B9&lt;0,"INVALID - y must be &gt;= 0",IF(B9&gt;$B$3,"OUT OF TOLERANCE",IF(B10&gt;0.5*$B$5,"CAUTION - loss &gt; 50% of A0","GOOD"))))</f>
        <v>GOOD</v>
      </c>
      <c r="D12" s="12" t="n">
        <v>9</v>
      </c>
      <c r="E12" s="13" t="n">
        <v>1.67</v>
      </c>
      <c r="F12" s="14" t="n">
        <f aca="false">IF(E12="","",$B$7*E12^2)</f>
        <v>33.4668</v>
      </c>
      <c r="H12" s="15" t="n">
        <f aca="false">0+8*1.5*$B$3/40</f>
        <v>1.5</v>
      </c>
      <c r="I12" s="16" t="n">
        <f aca="false">$B$7*H12^2</f>
        <v>27</v>
      </c>
      <c r="J12" s="16" t="n">
        <f aca="false">$B$5</f>
        <v>300</v>
      </c>
    </row>
    <row r="13" customFormat="false" ht="15" hidden="false" customHeight="false" outlineLevel="0" collapsed="false">
      <c r="B13" s="18"/>
      <c r="D13" s="12" t="n">
        <v>10</v>
      </c>
      <c r="E13" s="13" t="n">
        <v>4.23</v>
      </c>
      <c r="F13" s="14" t="n">
        <f aca="false">IF(E13="","",$B$7*E13^2)</f>
        <v>214.7148</v>
      </c>
      <c r="H13" s="15" t="n">
        <f aca="false">0+9*1.5*$B$3/40</f>
        <v>1.6875</v>
      </c>
      <c r="I13" s="16" t="n">
        <f aca="false">$B$7*H13^2</f>
        <v>34.171875</v>
      </c>
      <c r="J13" s="16" t="n">
        <f aca="false">$B$5</f>
        <v>300</v>
      </c>
    </row>
    <row r="14" customFormat="false" ht="15" hidden="false" customHeight="false" outlineLevel="0" collapsed="false">
      <c r="A14" s="23" t="s">
        <v>49</v>
      </c>
      <c r="B14" s="18"/>
      <c r="D14" s="12" t="n">
        <v>11</v>
      </c>
      <c r="E14" s="13" t="n">
        <v>4.83</v>
      </c>
      <c r="F14" s="14" t="n">
        <f aca="false">IF(E14="","",$B$7*E14^2)</f>
        <v>279.9468</v>
      </c>
      <c r="H14" s="15" t="n">
        <f aca="false">0+10*1.5*$B$3/40</f>
        <v>1.875</v>
      </c>
      <c r="I14" s="16" t="n">
        <f aca="false">$B$7*H14^2</f>
        <v>42.1875</v>
      </c>
      <c r="J14" s="16" t="n">
        <f aca="false">$B$5</f>
        <v>300</v>
      </c>
    </row>
    <row r="15" customFormat="false" ht="15" hidden="false" customHeight="false" outlineLevel="0" collapsed="false">
      <c r="A15" s="8" t="s">
        <v>50</v>
      </c>
      <c r="B15" s="24" t="n">
        <f aca="false">COUNT($E$4:$E$503)</f>
        <v>30</v>
      </c>
      <c r="D15" s="12" t="n">
        <v>12</v>
      </c>
      <c r="E15" s="13" t="n">
        <v>1.95</v>
      </c>
      <c r="F15" s="14" t="n">
        <f aca="false">IF(E15="","",$B$7*E15^2)</f>
        <v>45.63</v>
      </c>
      <c r="H15" s="15" t="n">
        <f aca="false">0+11*1.5*$B$3/40</f>
        <v>2.0625</v>
      </c>
      <c r="I15" s="16" t="n">
        <f aca="false">$B$7*H15^2</f>
        <v>51.046875</v>
      </c>
      <c r="J15" s="16" t="n">
        <f aca="false">$B$5</f>
        <v>300</v>
      </c>
    </row>
    <row r="16" customFormat="false" ht="15" hidden="false" customHeight="false" outlineLevel="0" collapsed="false">
      <c r="A16" s="8" t="s">
        <v>51</v>
      </c>
      <c r="B16" s="25" t="n">
        <f aca="false">IF(B15=0,"",AVERAGE($E$4:$E$503))</f>
        <v>2.05533333333333</v>
      </c>
      <c r="D16" s="12" t="n">
        <v>13</v>
      </c>
      <c r="E16" s="13" t="n">
        <v>2.42</v>
      </c>
      <c r="F16" s="14" t="n">
        <f aca="false">IF(E16="","",$B$7*E16^2)</f>
        <v>70.2768</v>
      </c>
      <c r="H16" s="15" t="n">
        <f aca="false">0+12*1.5*$B$3/40</f>
        <v>2.25</v>
      </c>
      <c r="I16" s="16" t="n">
        <f aca="false">$B$7*H16^2</f>
        <v>60.75</v>
      </c>
      <c r="J16" s="16" t="n">
        <f aca="false">$B$5</f>
        <v>300</v>
      </c>
    </row>
    <row r="17" customFormat="false" ht="15" hidden="false" customHeight="false" outlineLevel="0" collapsed="false">
      <c r="A17" s="8" t="s">
        <v>52</v>
      </c>
      <c r="B17" s="25" t="n">
        <f aca="false">IF(B15&lt;2,"",STDEV($E$4:$E$503))</f>
        <v>1.60096680560331</v>
      </c>
      <c r="D17" s="12" t="n">
        <v>14</v>
      </c>
      <c r="E17" s="13" t="n">
        <v>1.1</v>
      </c>
      <c r="F17" s="14" t="n">
        <f aca="false">IF(E17="","",$B$7*E17^2)</f>
        <v>14.52</v>
      </c>
      <c r="H17" s="15" t="n">
        <f aca="false">0+13*1.5*$B$3/40</f>
        <v>2.4375</v>
      </c>
      <c r="I17" s="16" t="n">
        <f aca="false">$B$7*H17^2</f>
        <v>71.296875</v>
      </c>
      <c r="J17" s="16" t="n">
        <f aca="false">$B$5</f>
        <v>300</v>
      </c>
    </row>
    <row r="18" customFormat="false" ht="15" hidden="false" customHeight="false" outlineLevel="0" collapsed="false">
      <c r="A18" s="8" t="s">
        <v>53</v>
      </c>
      <c r="B18" s="25" t="n">
        <f aca="false">IF(B15=0,"",MIN($E$4:$E$503))</f>
        <v>0.27</v>
      </c>
      <c r="D18" s="12" t="n">
        <v>15</v>
      </c>
      <c r="E18" s="13" t="n">
        <v>0.93</v>
      </c>
      <c r="F18" s="14" t="n">
        <f aca="false">IF(E18="","",$B$7*E18^2)</f>
        <v>10.3788</v>
      </c>
      <c r="H18" s="15" t="n">
        <f aca="false">0+14*1.5*$B$3/40</f>
        <v>2.625</v>
      </c>
      <c r="I18" s="16" t="n">
        <f aca="false">$B$7*H18^2</f>
        <v>82.6875</v>
      </c>
      <c r="J18" s="16" t="n">
        <f aca="false">$B$5</f>
        <v>300</v>
      </c>
    </row>
    <row r="19" customFormat="false" ht="15" hidden="false" customHeight="false" outlineLevel="0" collapsed="false">
      <c r="A19" s="8" t="s">
        <v>54</v>
      </c>
      <c r="B19" s="25" t="n">
        <f aca="false">IF(B15=0,"",MAX($E$4:$E$503))</f>
        <v>6.95</v>
      </c>
      <c r="D19" s="12" t="n">
        <v>16</v>
      </c>
      <c r="E19" s="13" t="n">
        <v>2.79</v>
      </c>
      <c r="F19" s="14" t="n">
        <f aca="false">IF(E19="","",$B$7*E19^2)</f>
        <v>93.4092</v>
      </c>
      <c r="H19" s="15" t="n">
        <f aca="false">0+15*1.5*$B$3/40</f>
        <v>2.8125</v>
      </c>
      <c r="I19" s="16" t="n">
        <f aca="false">$B$7*H19^2</f>
        <v>94.921875</v>
      </c>
      <c r="J19" s="16" t="n">
        <f aca="false">$B$5</f>
        <v>300</v>
      </c>
    </row>
    <row r="20" customFormat="false" ht="15" hidden="false" customHeight="false" outlineLevel="0" collapsed="false">
      <c r="A20" s="19" t="s">
        <v>55</v>
      </c>
      <c r="B20" s="21" t="n">
        <f aca="false">IF(B15=0,"",AVERAGE($F$4:$F$503))</f>
        <v>80.42464</v>
      </c>
      <c r="D20" s="12" t="n">
        <v>17</v>
      </c>
      <c r="E20" s="13" t="n">
        <v>0.33</v>
      </c>
      <c r="F20" s="14" t="n">
        <f aca="false">IF(E20="","",$B$7*E20^2)</f>
        <v>1.3068</v>
      </c>
      <c r="H20" s="15" t="n">
        <f aca="false">0+16*1.5*$B$3/40</f>
        <v>3</v>
      </c>
      <c r="I20" s="16" t="n">
        <f aca="false">$B$7*H20^2</f>
        <v>108</v>
      </c>
      <c r="J20" s="16" t="n">
        <f aca="false">$B$5</f>
        <v>300</v>
      </c>
    </row>
    <row r="21" customFormat="false" ht="15" hidden="false" customHeight="false" outlineLevel="0" collapsed="false">
      <c r="A21" s="19" t="s">
        <v>56</v>
      </c>
      <c r="B21" s="26" t="n">
        <f aca="false">IF(B15=0,"",SUM($F$4:$F$503))</f>
        <v>2412.7392</v>
      </c>
      <c r="D21" s="12" t="n">
        <v>18</v>
      </c>
      <c r="E21" s="13" t="n">
        <v>2.03</v>
      </c>
      <c r="F21" s="14" t="n">
        <f aca="false">IF(E21="","",$B$7*E21^2)</f>
        <v>49.4508</v>
      </c>
      <c r="H21" s="15" t="n">
        <f aca="false">0+17*1.5*$B$3/40</f>
        <v>3.1875</v>
      </c>
      <c r="I21" s="16" t="n">
        <f aca="false">$B$7*H21^2</f>
        <v>121.921875</v>
      </c>
      <c r="J21" s="16" t="n">
        <f aca="false">$B$5</f>
        <v>300</v>
      </c>
    </row>
    <row r="22" customFormat="false" ht="15" hidden="false" customHeight="false" outlineLevel="0" collapsed="false">
      <c r="A22" s="8" t="s">
        <v>57</v>
      </c>
      <c r="B22" s="27" t="n">
        <f aca="false">IF(B15=0,"",B20/$B$5)</f>
        <v>0.268082133333333</v>
      </c>
      <c r="D22" s="12" t="n">
        <v>19</v>
      </c>
      <c r="E22" s="13" t="n">
        <v>1.39</v>
      </c>
      <c r="F22" s="14" t="n">
        <f aca="false">IF(E22="","",$B$7*E22^2)</f>
        <v>23.1852</v>
      </c>
      <c r="H22" s="15" t="n">
        <f aca="false">0+18*1.5*$B$3/40</f>
        <v>3.375</v>
      </c>
      <c r="I22" s="16" t="n">
        <f aca="false">$B$7*H22^2</f>
        <v>136.6875</v>
      </c>
      <c r="J22" s="16" t="n">
        <f aca="false">$B$5</f>
        <v>300</v>
      </c>
    </row>
    <row r="23" customFormat="false" ht="15" hidden="false" customHeight="false" outlineLevel="0" collapsed="false">
      <c r="A23" s="19" t="s">
        <v>62</v>
      </c>
      <c r="B23" s="30" t="str">
        <f aca="false">IF(B15=0,"Enter data in column E",IF(B20&gt;$B$5,"CRITICAL - E[L] &gt; A0",IF(B20&gt;0.5*$B$5,"CAUTION - E[L] &gt; 50% of A0",IF(B16&gt;$B$3,"MEAN EXCEEDS LIMIT","ACCEPTABLE"))))</f>
        <v>ACCEPTABLE</v>
      </c>
      <c r="D23" s="12" t="n">
        <v>20</v>
      </c>
      <c r="E23" s="13" t="n">
        <v>0.76</v>
      </c>
      <c r="F23" s="14" t="n">
        <f aca="false">IF(E23="","",$B$7*E23^2)</f>
        <v>6.9312</v>
      </c>
      <c r="H23" s="15" t="n">
        <f aca="false">0+19*1.5*$B$3/40</f>
        <v>3.5625</v>
      </c>
      <c r="I23" s="16" t="n">
        <f aca="false">$B$7*H23^2</f>
        <v>152.296875</v>
      </c>
      <c r="J23" s="16" t="n">
        <f aca="false">$B$5</f>
        <v>300</v>
      </c>
    </row>
    <row r="24" customFormat="false" ht="15" hidden="false" customHeight="false" outlineLevel="0" collapsed="false">
      <c r="A24" s="8" t="s">
        <v>63</v>
      </c>
      <c r="B24" s="31" t="n">
        <f aca="false">COUNTIF($E$4:$E$503,"&gt;"&amp;$B$3)</f>
        <v>1</v>
      </c>
      <c r="D24" s="12" t="n">
        <v>21</v>
      </c>
      <c r="E24" s="13" t="n">
        <v>0.27</v>
      </c>
      <c r="F24" s="14" t="n">
        <f aca="false">IF(E24="","",$B$7*E24^2)</f>
        <v>0.8748</v>
      </c>
      <c r="H24" s="15" t="n">
        <f aca="false">0+20*1.5*$B$3/40</f>
        <v>3.75</v>
      </c>
      <c r="I24" s="16" t="n">
        <f aca="false">$B$7*H24^2</f>
        <v>168.75</v>
      </c>
      <c r="J24" s="16" t="n">
        <f aca="false">$B$5</f>
        <v>300</v>
      </c>
    </row>
    <row r="25" customFormat="false" ht="15" hidden="false" customHeight="false" outlineLevel="0" collapsed="false">
      <c r="B25" s="18"/>
      <c r="D25" s="12" t="n">
        <v>22</v>
      </c>
      <c r="E25" s="13" t="n">
        <v>3.48</v>
      </c>
      <c r="F25" s="14" t="n">
        <f aca="false">IF(E25="","",$B$7*E25^2)</f>
        <v>145.3248</v>
      </c>
      <c r="H25" s="15" t="n">
        <f aca="false">0+21*1.5*$B$3/40</f>
        <v>3.9375</v>
      </c>
      <c r="I25" s="16" t="n">
        <f aca="false">$B$7*H25^2</f>
        <v>186.046875</v>
      </c>
      <c r="J25" s="16" t="n">
        <f aca="false">$B$5</f>
        <v>300</v>
      </c>
    </row>
    <row r="26" customFormat="false" ht="15" hidden="false" customHeight="false" outlineLevel="0" collapsed="false">
      <c r="B26" s="18"/>
      <c r="D26" s="12" t="n">
        <v>23</v>
      </c>
      <c r="E26" s="13" t="n">
        <v>4.5</v>
      </c>
      <c r="F26" s="14" t="n">
        <f aca="false">IF(E26="","",$B$7*E26^2)</f>
        <v>243</v>
      </c>
      <c r="H26" s="15" t="n">
        <f aca="false">0+22*1.5*$B$3/40</f>
        <v>4.125</v>
      </c>
      <c r="I26" s="16" t="n">
        <f aca="false">$B$7*H26^2</f>
        <v>204.1875</v>
      </c>
      <c r="J26" s="16" t="n">
        <f aca="false">$B$5</f>
        <v>300</v>
      </c>
    </row>
    <row r="27" customFormat="false" ht="15" hidden="false" customHeight="false" outlineLevel="0" collapsed="false">
      <c r="B27" s="18"/>
      <c r="D27" s="12" t="n">
        <v>24</v>
      </c>
      <c r="E27" s="13" t="n">
        <v>1.82</v>
      </c>
      <c r="F27" s="14" t="n">
        <f aca="false">IF(E27="","",$B$7*E27^2)</f>
        <v>39.7488</v>
      </c>
      <c r="H27" s="15" t="n">
        <f aca="false">0+23*1.5*$B$3/40</f>
        <v>4.3125</v>
      </c>
      <c r="I27" s="16" t="n">
        <f aca="false">$B$7*H27^2</f>
        <v>223.171875</v>
      </c>
      <c r="J27" s="16" t="n">
        <f aca="false">$B$5</f>
        <v>300</v>
      </c>
    </row>
    <row r="28" customFormat="false" ht="15" hidden="false" customHeight="false" outlineLevel="0" collapsed="false">
      <c r="B28" s="18"/>
      <c r="D28" s="12" t="n">
        <v>25</v>
      </c>
      <c r="E28" s="13" t="n">
        <v>2.61</v>
      </c>
      <c r="F28" s="14" t="n">
        <f aca="false">IF(E28="","",$B$7*E28^2)</f>
        <v>81.7452</v>
      </c>
      <c r="H28" s="15" t="n">
        <f aca="false">0+24*1.5*$B$3/40</f>
        <v>4.5</v>
      </c>
      <c r="I28" s="16" t="n">
        <f aca="false">$B$7*H28^2</f>
        <v>243</v>
      </c>
      <c r="J28" s="16" t="n">
        <f aca="false">$B$5</f>
        <v>300</v>
      </c>
    </row>
    <row r="29" customFormat="false" ht="15" hidden="false" customHeight="false" outlineLevel="0" collapsed="false">
      <c r="B29" s="18"/>
      <c r="D29" s="12" t="n">
        <v>26</v>
      </c>
      <c r="E29" s="13" t="n">
        <v>0.97</v>
      </c>
      <c r="F29" s="14" t="n">
        <f aca="false">IF(E29="","",$B$7*E29^2)</f>
        <v>11.2908</v>
      </c>
      <c r="H29" s="15" t="n">
        <f aca="false">0+25*1.5*$B$3/40</f>
        <v>4.6875</v>
      </c>
      <c r="I29" s="16" t="n">
        <f aca="false">$B$7*H29^2</f>
        <v>263.671875</v>
      </c>
      <c r="J29" s="16" t="n">
        <f aca="false">$B$5</f>
        <v>300</v>
      </c>
    </row>
    <row r="30" customFormat="false" ht="15" hidden="false" customHeight="false" outlineLevel="0" collapsed="false">
      <c r="B30" s="18"/>
      <c r="D30" s="12" t="n">
        <v>27</v>
      </c>
      <c r="E30" s="13" t="n">
        <v>2.03</v>
      </c>
      <c r="F30" s="14" t="n">
        <f aca="false">IF(E30="","",$B$7*E30^2)</f>
        <v>49.4508</v>
      </c>
      <c r="H30" s="15" t="n">
        <f aca="false">0+26*1.5*$B$3/40</f>
        <v>4.875</v>
      </c>
      <c r="I30" s="16" t="n">
        <f aca="false">$B$7*H30^2</f>
        <v>285.1875</v>
      </c>
      <c r="J30" s="16" t="n">
        <f aca="false">$B$5</f>
        <v>300</v>
      </c>
    </row>
    <row r="31" customFormat="false" ht="15" hidden="false" customHeight="false" outlineLevel="0" collapsed="false">
      <c r="D31" s="12" t="n">
        <v>28</v>
      </c>
      <c r="E31" s="13" t="n">
        <v>1.83</v>
      </c>
      <c r="F31" s="14" t="n">
        <f aca="false">IF(E31="","",$B$7*E31^2)</f>
        <v>40.1868</v>
      </c>
      <c r="H31" s="15" t="n">
        <f aca="false">0+27*1.5*$B$3/40</f>
        <v>5.0625</v>
      </c>
      <c r="I31" s="16" t="n">
        <f aca="false">$B$7*H31^2</f>
        <v>307.546875</v>
      </c>
      <c r="J31" s="16" t="n">
        <f aca="false">$B$5</f>
        <v>300</v>
      </c>
    </row>
    <row r="32" customFormat="false" ht="15" hidden="false" customHeight="false" outlineLevel="0" collapsed="false">
      <c r="D32" s="12" t="n">
        <v>29</v>
      </c>
      <c r="E32" s="13" t="n">
        <v>0.73</v>
      </c>
      <c r="F32" s="14" t="n">
        <f aca="false">IF(E32="","",$B$7*E32^2)</f>
        <v>6.3948</v>
      </c>
      <c r="H32" s="15" t="n">
        <f aca="false">0+28*1.5*$B$3/40</f>
        <v>5.25</v>
      </c>
      <c r="I32" s="16" t="n">
        <f aca="false">$B$7*H32^2</f>
        <v>330.75</v>
      </c>
      <c r="J32" s="16" t="n">
        <f aca="false">$B$5</f>
        <v>300</v>
      </c>
    </row>
    <row r="33" customFormat="false" ht="15" hidden="false" customHeight="false" outlineLevel="0" collapsed="false">
      <c r="D33" s="12" t="n">
        <v>30</v>
      </c>
      <c r="E33" s="13" t="n">
        <v>3.48</v>
      </c>
      <c r="F33" s="14" t="n">
        <f aca="false">IF(E33="","",$B$7*E33^2)</f>
        <v>145.3248</v>
      </c>
      <c r="H33" s="15" t="n">
        <f aca="false">0+29*1.5*$B$3/40</f>
        <v>5.4375</v>
      </c>
      <c r="I33" s="16" t="n">
        <f aca="false">$B$7*H33^2</f>
        <v>354.796875</v>
      </c>
      <c r="J33" s="16" t="n">
        <f aca="false">$B$5</f>
        <v>300</v>
      </c>
    </row>
    <row r="34" customFormat="false" ht="15" hidden="false" customHeight="false" outlineLevel="0" collapsed="false">
      <c r="D34" s="12" t="n">
        <v>31</v>
      </c>
      <c r="E34" s="13"/>
      <c r="F34" s="14" t="str">
        <f aca="false">IF(E34="","",$B$7*E34^2)</f>
        <v/>
      </c>
      <c r="H34" s="15" t="n">
        <f aca="false">0+30*1.5*$B$3/40</f>
        <v>5.625</v>
      </c>
      <c r="I34" s="16" t="n">
        <f aca="false">$B$7*H34^2</f>
        <v>379.6875</v>
      </c>
      <c r="J34" s="16" t="n">
        <f aca="false">$B$5</f>
        <v>300</v>
      </c>
    </row>
    <row r="35" customFormat="false" ht="15" hidden="false" customHeight="false" outlineLevel="0" collapsed="false">
      <c r="D35" s="12" t="n">
        <v>32</v>
      </c>
      <c r="E35" s="13"/>
      <c r="F35" s="14" t="str">
        <f aca="false">IF(E35="","",$B$7*E35^2)</f>
        <v/>
      </c>
      <c r="H35" s="15" t="n">
        <f aca="false">0+31*1.5*$B$3/40</f>
        <v>5.8125</v>
      </c>
      <c r="I35" s="16" t="n">
        <f aca="false">$B$7*H35^2</f>
        <v>405.421875</v>
      </c>
      <c r="J35" s="16" t="n">
        <f aca="false">$B$5</f>
        <v>300</v>
      </c>
    </row>
    <row r="36" customFormat="false" ht="15" hidden="false" customHeight="false" outlineLevel="0" collapsed="false">
      <c r="D36" s="12" t="n">
        <v>33</v>
      </c>
      <c r="E36" s="13"/>
      <c r="F36" s="14" t="str">
        <f aca="false">IF(E36="","",$B$7*E36^2)</f>
        <v/>
      </c>
      <c r="H36" s="15" t="n">
        <f aca="false">0+32*1.5*$B$3/40</f>
        <v>6</v>
      </c>
      <c r="I36" s="16" t="n">
        <f aca="false">$B$7*H36^2</f>
        <v>432</v>
      </c>
      <c r="J36" s="16" t="n">
        <f aca="false">$B$5</f>
        <v>300</v>
      </c>
    </row>
    <row r="37" customFormat="false" ht="15" hidden="false" customHeight="false" outlineLevel="0" collapsed="false">
      <c r="D37" s="12" t="n">
        <v>34</v>
      </c>
      <c r="E37" s="13"/>
      <c r="F37" s="14" t="str">
        <f aca="false">IF(E37="","",$B$7*E37^2)</f>
        <v/>
      </c>
      <c r="H37" s="15" t="n">
        <f aca="false">0+33*1.5*$B$3/40</f>
        <v>6.1875</v>
      </c>
      <c r="I37" s="16" t="n">
        <f aca="false">$B$7*H37^2</f>
        <v>459.421875</v>
      </c>
      <c r="J37" s="16" t="n">
        <f aca="false">$B$5</f>
        <v>300</v>
      </c>
    </row>
    <row r="38" customFormat="false" ht="15" hidden="false" customHeight="false" outlineLevel="0" collapsed="false">
      <c r="D38" s="12" t="n">
        <v>35</v>
      </c>
      <c r="E38" s="13"/>
      <c r="F38" s="14" t="str">
        <f aca="false">IF(E38="","",$B$7*E38^2)</f>
        <v/>
      </c>
      <c r="H38" s="15" t="n">
        <f aca="false">0+34*1.5*$B$3/40</f>
        <v>6.375</v>
      </c>
      <c r="I38" s="16" t="n">
        <f aca="false">$B$7*H38^2</f>
        <v>487.6875</v>
      </c>
      <c r="J38" s="16" t="n">
        <f aca="false">$B$5</f>
        <v>300</v>
      </c>
    </row>
    <row r="39" customFormat="false" ht="15" hidden="false" customHeight="false" outlineLevel="0" collapsed="false">
      <c r="D39" s="12" t="n">
        <v>36</v>
      </c>
      <c r="E39" s="13"/>
      <c r="F39" s="14" t="str">
        <f aca="false">IF(E39="","",$B$7*E39^2)</f>
        <v/>
      </c>
      <c r="H39" s="15" t="n">
        <f aca="false">0+35*1.5*$B$3/40</f>
        <v>6.5625</v>
      </c>
      <c r="I39" s="16" t="n">
        <f aca="false">$B$7*H39^2</f>
        <v>516.796875</v>
      </c>
      <c r="J39" s="16" t="n">
        <f aca="false">$B$5</f>
        <v>300</v>
      </c>
    </row>
    <row r="40" customFormat="false" ht="15" hidden="false" customHeight="false" outlineLevel="0" collapsed="false">
      <c r="D40" s="12" t="n">
        <v>37</v>
      </c>
      <c r="E40" s="13"/>
      <c r="F40" s="14" t="str">
        <f aca="false">IF(E40="","",$B$7*E40^2)</f>
        <v/>
      </c>
      <c r="H40" s="15" t="n">
        <f aca="false">0+36*1.5*$B$3/40</f>
        <v>6.75</v>
      </c>
      <c r="I40" s="16" t="n">
        <f aca="false">$B$7*H40^2</f>
        <v>546.75</v>
      </c>
      <c r="J40" s="16" t="n">
        <f aca="false">$B$5</f>
        <v>300</v>
      </c>
    </row>
    <row r="41" customFormat="false" ht="15" hidden="false" customHeight="false" outlineLevel="0" collapsed="false">
      <c r="D41" s="12" t="n">
        <v>38</v>
      </c>
      <c r="E41" s="13"/>
      <c r="F41" s="14" t="str">
        <f aca="false">IF(E41="","",$B$7*E41^2)</f>
        <v/>
      </c>
      <c r="H41" s="15" t="n">
        <f aca="false">0+37*1.5*$B$3/40</f>
        <v>6.9375</v>
      </c>
      <c r="I41" s="16" t="n">
        <f aca="false">$B$7*H41^2</f>
        <v>577.546875</v>
      </c>
      <c r="J41" s="16" t="n">
        <f aca="false">$B$5</f>
        <v>300</v>
      </c>
    </row>
    <row r="42" customFormat="false" ht="15" hidden="false" customHeight="false" outlineLevel="0" collapsed="false">
      <c r="D42" s="12" t="n">
        <v>39</v>
      </c>
      <c r="E42" s="13"/>
      <c r="F42" s="14" t="str">
        <f aca="false">IF(E42="","",$B$7*E42^2)</f>
        <v/>
      </c>
      <c r="H42" s="15" t="n">
        <f aca="false">0+38*1.5*$B$3/40</f>
        <v>7.125</v>
      </c>
      <c r="I42" s="16" t="n">
        <f aca="false">$B$7*H42^2</f>
        <v>609.1875</v>
      </c>
      <c r="J42" s="16" t="n">
        <f aca="false">$B$5</f>
        <v>300</v>
      </c>
    </row>
    <row r="43" customFormat="false" ht="15" hidden="false" customHeight="false" outlineLevel="0" collapsed="false">
      <c r="D43" s="12" t="n">
        <v>40</v>
      </c>
      <c r="E43" s="13"/>
      <c r="F43" s="14" t="str">
        <f aca="false">IF(E43="","",$B$7*E43^2)</f>
        <v/>
      </c>
      <c r="H43" s="15" t="n">
        <f aca="false">0+39*1.5*$B$3/40</f>
        <v>7.3125</v>
      </c>
      <c r="I43" s="16" t="n">
        <f aca="false">$B$7*H43^2</f>
        <v>641.671875</v>
      </c>
      <c r="J43" s="16" t="n">
        <f aca="false">$B$5</f>
        <v>300</v>
      </c>
    </row>
    <row r="44" customFormat="false" ht="15" hidden="false" customHeight="false" outlineLevel="0" collapsed="false">
      <c r="D44" s="12" t="n">
        <v>41</v>
      </c>
      <c r="E44" s="13"/>
      <c r="F44" s="14" t="str">
        <f aca="false">IF(E44="","",$B$7*E44^2)</f>
        <v/>
      </c>
      <c r="H44" s="15" t="n">
        <f aca="false">0+40*1.5*$B$3/40</f>
        <v>7.5</v>
      </c>
      <c r="I44" s="16" t="n">
        <f aca="false">$B$7*H44^2</f>
        <v>675</v>
      </c>
      <c r="J44" s="16" t="n">
        <f aca="false">$B$5</f>
        <v>300</v>
      </c>
    </row>
    <row r="45" customFormat="false" ht="15" hidden="false" customHeight="false" outlineLevel="0" collapsed="false">
      <c r="D45" s="12" t="n">
        <v>42</v>
      </c>
      <c r="E45" s="13"/>
      <c r="F45" s="14" t="str">
        <f aca="false">IF(E45="","",$B$7*E45^2)</f>
        <v/>
      </c>
    </row>
    <row r="46" customFormat="false" ht="15" hidden="false" customHeight="false" outlineLevel="0" collapsed="false">
      <c r="D46" s="12" t="n">
        <v>43</v>
      </c>
      <c r="E46" s="13"/>
      <c r="F46" s="14" t="str">
        <f aca="false">IF(E46="","",$B$7*E46^2)</f>
        <v/>
      </c>
    </row>
    <row r="47" customFormat="false" ht="15" hidden="false" customHeight="false" outlineLevel="0" collapsed="false">
      <c r="D47" s="12" t="n">
        <v>44</v>
      </c>
      <c r="E47" s="13"/>
      <c r="F47" s="14" t="str">
        <f aca="false">IF(E47="","",$B$7*E47^2)</f>
        <v/>
      </c>
    </row>
    <row r="48" customFormat="false" ht="15" hidden="false" customHeight="false" outlineLevel="0" collapsed="false">
      <c r="D48" s="12" t="n">
        <v>45</v>
      </c>
      <c r="E48" s="13"/>
      <c r="F48" s="14" t="str">
        <f aca="false">IF(E48="","",$B$7*E48^2)</f>
        <v/>
      </c>
    </row>
    <row r="49" customFormat="false" ht="15" hidden="false" customHeight="false" outlineLevel="0" collapsed="false">
      <c r="D49" s="12" t="n">
        <v>46</v>
      </c>
      <c r="E49" s="13"/>
      <c r="F49" s="14" t="str">
        <f aca="false">IF(E49="","",$B$7*E49^2)</f>
        <v/>
      </c>
    </row>
    <row r="50" customFormat="false" ht="15" hidden="false" customHeight="false" outlineLevel="0" collapsed="false">
      <c r="D50" s="12" t="n">
        <v>47</v>
      </c>
      <c r="E50" s="13"/>
      <c r="F50" s="14" t="str">
        <f aca="false">IF(E50="","",$B$7*E50^2)</f>
        <v/>
      </c>
    </row>
    <row r="51" customFormat="false" ht="15" hidden="false" customHeight="false" outlineLevel="0" collapsed="false">
      <c r="D51" s="12" t="n">
        <v>48</v>
      </c>
      <c r="E51" s="13"/>
      <c r="F51" s="14" t="str">
        <f aca="false">IF(E51="","",$B$7*E51^2)</f>
        <v/>
      </c>
    </row>
    <row r="52" customFormat="false" ht="15" hidden="false" customHeight="false" outlineLevel="0" collapsed="false">
      <c r="D52" s="12" t="n">
        <v>49</v>
      </c>
      <c r="E52" s="13"/>
      <c r="F52" s="14" t="str">
        <f aca="false">IF(E52="","",$B$7*E52^2)</f>
        <v/>
      </c>
    </row>
    <row r="53" customFormat="false" ht="15" hidden="false" customHeight="false" outlineLevel="0" collapsed="false">
      <c r="D53" s="12" t="n">
        <v>50</v>
      </c>
      <c r="E53" s="13"/>
      <c r="F53" s="14" t="str">
        <f aca="false">IF(E53="","",$B$7*E53^2)</f>
        <v/>
      </c>
    </row>
    <row r="54" customFormat="false" ht="15" hidden="false" customHeight="false" outlineLevel="0" collapsed="false">
      <c r="D54" s="12" t="n">
        <v>51</v>
      </c>
      <c r="E54" s="13"/>
      <c r="F54" s="14" t="str">
        <f aca="false">IF(E54="","",$B$7*E54^2)</f>
        <v/>
      </c>
    </row>
    <row r="55" customFormat="false" ht="15" hidden="false" customHeight="false" outlineLevel="0" collapsed="false">
      <c r="D55" s="12" t="n">
        <v>52</v>
      </c>
      <c r="E55" s="13"/>
      <c r="F55" s="14" t="str">
        <f aca="false">IF(E55="","",$B$7*E55^2)</f>
        <v/>
      </c>
    </row>
    <row r="56" customFormat="false" ht="15" hidden="false" customHeight="false" outlineLevel="0" collapsed="false">
      <c r="D56" s="12" t="n">
        <v>53</v>
      </c>
      <c r="E56" s="13"/>
      <c r="F56" s="14" t="str">
        <f aca="false">IF(E56="","",$B$7*E56^2)</f>
        <v/>
      </c>
    </row>
    <row r="57" customFormat="false" ht="15" hidden="false" customHeight="false" outlineLevel="0" collapsed="false">
      <c r="D57" s="12" t="n">
        <v>54</v>
      </c>
      <c r="E57" s="13"/>
      <c r="F57" s="14" t="str">
        <f aca="false">IF(E57="","",$B$7*E57^2)</f>
        <v/>
      </c>
    </row>
    <row r="58" customFormat="false" ht="15" hidden="false" customHeight="false" outlineLevel="0" collapsed="false">
      <c r="D58" s="12" t="n">
        <v>55</v>
      </c>
      <c r="E58" s="13"/>
      <c r="F58" s="14" t="str">
        <f aca="false">IF(E58="","",$B$7*E58^2)</f>
        <v/>
      </c>
    </row>
    <row r="59" customFormat="false" ht="15" hidden="false" customHeight="false" outlineLevel="0" collapsed="false">
      <c r="D59" s="12" t="n">
        <v>56</v>
      </c>
      <c r="E59" s="13"/>
      <c r="F59" s="14" t="str">
        <f aca="false">IF(E59="","",$B$7*E59^2)</f>
        <v/>
      </c>
    </row>
    <row r="60" customFormat="false" ht="15" hidden="false" customHeight="false" outlineLevel="0" collapsed="false">
      <c r="D60" s="12" t="n">
        <v>57</v>
      </c>
      <c r="E60" s="13"/>
      <c r="F60" s="14" t="str">
        <f aca="false">IF(E60="","",$B$7*E60^2)</f>
        <v/>
      </c>
    </row>
    <row r="61" customFormat="false" ht="15" hidden="false" customHeight="false" outlineLevel="0" collapsed="false">
      <c r="D61" s="12" t="n">
        <v>58</v>
      </c>
      <c r="E61" s="13"/>
      <c r="F61" s="14" t="str">
        <f aca="false">IF(E61="","",$B$7*E61^2)</f>
        <v/>
      </c>
    </row>
    <row r="62" customFormat="false" ht="15" hidden="false" customHeight="false" outlineLevel="0" collapsed="false">
      <c r="D62" s="12" t="n">
        <v>59</v>
      </c>
      <c r="E62" s="13"/>
      <c r="F62" s="14" t="str">
        <f aca="false">IF(E62="","",$B$7*E62^2)</f>
        <v/>
      </c>
    </row>
    <row r="63" customFormat="false" ht="15" hidden="false" customHeight="false" outlineLevel="0" collapsed="false">
      <c r="D63" s="12" t="n">
        <v>60</v>
      </c>
      <c r="E63" s="13"/>
      <c r="F63" s="14" t="str">
        <f aca="false">IF(E63="","",$B$7*E63^2)</f>
        <v/>
      </c>
    </row>
    <row r="64" customFormat="false" ht="15" hidden="false" customHeight="false" outlineLevel="0" collapsed="false">
      <c r="D64" s="12" t="n">
        <v>61</v>
      </c>
      <c r="E64" s="13"/>
      <c r="F64" s="14" t="str">
        <f aca="false">IF(E64="","",$B$7*E64^2)</f>
        <v/>
      </c>
    </row>
    <row r="65" customFormat="false" ht="15" hidden="false" customHeight="false" outlineLevel="0" collapsed="false">
      <c r="D65" s="12" t="n">
        <v>62</v>
      </c>
      <c r="E65" s="13"/>
      <c r="F65" s="14" t="str">
        <f aca="false">IF(E65="","",$B$7*E65^2)</f>
        <v/>
      </c>
    </row>
    <row r="66" customFormat="false" ht="15" hidden="false" customHeight="false" outlineLevel="0" collapsed="false">
      <c r="D66" s="12" t="n">
        <v>63</v>
      </c>
      <c r="E66" s="13"/>
      <c r="F66" s="14" t="str">
        <f aca="false">IF(E66="","",$B$7*E66^2)</f>
        <v/>
      </c>
    </row>
    <row r="67" customFormat="false" ht="15" hidden="false" customHeight="false" outlineLevel="0" collapsed="false">
      <c r="D67" s="12" t="n">
        <v>64</v>
      </c>
      <c r="E67" s="13"/>
      <c r="F67" s="14" t="str">
        <f aca="false">IF(E67="","",$B$7*E67^2)</f>
        <v/>
      </c>
    </row>
    <row r="68" customFormat="false" ht="15" hidden="false" customHeight="false" outlineLevel="0" collapsed="false">
      <c r="D68" s="12" t="n">
        <v>65</v>
      </c>
      <c r="E68" s="13"/>
      <c r="F68" s="14" t="str">
        <f aca="false">IF(E68="","",$B$7*E68^2)</f>
        <v/>
      </c>
    </row>
    <row r="69" customFormat="false" ht="15" hidden="false" customHeight="false" outlineLevel="0" collapsed="false">
      <c r="D69" s="12" t="n">
        <v>66</v>
      </c>
      <c r="E69" s="13"/>
      <c r="F69" s="14" t="str">
        <f aca="false">IF(E69="","",$B$7*E69^2)</f>
        <v/>
      </c>
    </row>
    <row r="70" customFormat="false" ht="15" hidden="false" customHeight="false" outlineLevel="0" collapsed="false">
      <c r="D70" s="12" t="n">
        <v>67</v>
      </c>
      <c r="E70" s="13"/>
      <c r="F70" s="14" t="str">
        <f aca="false">IF(E70="","",$B$7*E70^2)</f>
        <v/>
      </c>
    </row>
    <row r="71" customFormat="false" ht="15" hidden="false" customHeight="false" outlineLevel="0" collapsed="false">
      <c r="D71" s="12" t="n">
        <v>68</v>
      </c>
      <c r="E71" s="13"/>
      <c r="F71" s="14" t="str">
        <f aca="false">IF(E71="","",$B$7*E71^2)</f>
        <v/>
      </c>
    </row>
    <row r="72" customFormat="false" ht="15" hidden="false" customHeight="false" outlineLevel="0" collapsed="false">
      <c r="D72" s="12" t="n">
        <v>69</v>
      </c>
      <c r="E72" s="13"/>
      <c r="F72" s="14" t="str">
        <f aca="false">IF(E72="","",$B$7*E72^2)</f>
        <v/>
      </c>
    </row>
    <row r="73" customFormat="false" ht="15" hidden="false" customHeight="false" outlineLevel="0" collapsed="false">
      <c r="D73" s="12" t="n">
        <v>70</v>
      </c>
      <c r="E73" s="13"/>
      <c r="F73" s="14" t="str">
        <f aca="false">IF(E73="","",$B$7*E73^2)</f>
        <v/>
      </c>
    </row>
    <row r="74" customFormat="false" ht="15" hidden="false" customHeight="false" outlineLevel="0" collapsed="false">
      <c r="D74" s="12" t="n">
        <v>71</v>
      </c>
      <c r="E74" s="13"/>
      <c r="F74" s="14" t="str">
        <f aca="false">IF(E74="","",$B$7*E74^2)</f>
        <v/>
      </c>
    </row>
    <row r="75" customFormat="false" ht="15" hidden="false" customHeight="false" outlineLevel="0" collapsed="false">
      <c r="D75" s="12" t="n">
        <v>72</v>
      </c>
      <c r="E75" s="13"/>
      <c r="F75" s="14" t="str">
        <f aca="false">IF(E75="","",$B$7*E75^2)</f>
        <v/>
      </c>
    </row>
    <row r="76" customFormat="false" ht="15" hidden="false" customHeight="false" outlineLevel="0" collapsed="false">
      <c r="D76" s="12" t="n">
        <v>73</v>
      </c>
      <c r="E76" s="13"/>
      <c r="F76" s="14" t="str">
        <f aca="false">IF(E76="","",$B$7*E76^2)</f>
        <v/>
      </c>
    </row>
    <row r="77" customFormat="false" ht="15" hidden="false" customHeight="false" outlineLevel="0" collapsed="false">
      <c r="D77" s="12" t="n">
        <v>74</v>
      </c>
      <c r="E77" s="13"/>
      <c r="F77" s="14" t="str">
        <f aca="false">IF(E77="","",$B$7*E77^2)</f>
        <v/>
      </c>
    </row>
    <row r="78" customFormat="false" ht="15" hidden="false" customHeight="false" outlineLevel="0" collapsed="false">
      <c r="D78" s="12" t="n">
        <v>75</v>
      </c>
      <c r="E78" s="13"/>
      <c r="F78" s="14" t="str">
        <f aca="false">IF(E78="","",$B$7*E78^2)</f>
        <v/>
      </c>
    </row>
    <row r="79" customFormat="false" ht="15" hidden="false" customHeight="false" outlineLevel="0" collapsed="false">
      <c r="D79" s="12" t="n">
        <v>76</v>
      </c>
      <c r="E79" s="13"/>
      <c r="F79" s="14" t="str">
        <f aca="false">IF(E79="","",$B$7*E79^2)</f>
        <v/>
      </c>
    </row>
    <row r="80" customFormat="false" ht="15" hidden="false" customHeight="false" outlineLevel="0" collapsed="false">
      <c r="D80" s="12" t="n">
        <v>77</v>
      </c>
      <c r="E80" s="13"/>
      <c r="F80" s="14" t="str">
        <f aca="false">IF(E80="","",$B$7*E80^2)</f>
        <v/>
      </c>
    </row>
    <row r="81" customFormat="false" ht="15" hidden="false" customHeight="false" outlineLevel="0" collapsed="false">
      <c r="D81" s="12" t="n">
        <v>78</v>
      </c>
      <c r="E81" s="13"/>
      <c r="F81" s="14" t="str">
        <f aca="false">IF(E81="","",$B$7*E81^2)</f>
        <v/>
      </c>
    </row>
    <row r="82" customFormat="false" ht="15" hidden="false" customHeight="false" outlineLevel="0" collapsed="false">
      <c r="D82" s="12" t="n">
        <v>79</v>
      </c>
      <c r="E82" s="13"/>
      <c r="F82" s="14" t="str">
        <f aca="false">IF(E82="","",$B$7*E82^2)</f>
        <v/>
      </c>
    </row>
    <row r="83" customFormat="false" ht="15" hidden="false" customHeight="false" outlineLevel="0" collapsed="false">
      <c r="D83" s="12" t="n">
        <v>80</v>
      </c>
      <c r="E83" s="13"/>
      <c r="F83" s="14" t="str">
        <f aca="false">IF(E83="","",$B$7*E83^2)</f>
        <v/>
      </c>
    </row>
    <row r="84" customFormat="false" ht="15" hidden="false" customHeight="false" outlineLevel="0" collapsed="false">
      <c r="D84" s="12" t="n">
        <v>81</v>
      </c>
      <c r="E84" s="13"/>
      <c r="F84" s="14" t="str">
        <f aca="false">IF(E84="","",$B$7*E84^2)</f>
        <v/>
      </c>
    </row>
    <row r="85" customFormat="false" ht="15" hidden="false" customHeight="false" outlineLevel="0" collapsed="false">
      <c r="D85" s="12" t="n">
        <v>82</v>
      </c>
      <c r="E85" s="13"/>
      <c r="F85" s="14" t="str">
        <f aca="false">IF(E85="","",$B$7*E85^2)</f>
        <v/>
      </c>
    </row>
    <row r="86" customFormat="false" ht="15" hidden="false" customHeight="false" outlineLevel="0" collapsed="false">
      <c r="D86" s="12" t="n">
        <v>83</v>
      </c>
      <c r="E86" s="13"/>
      <c r="F86" s="14" t="str">
        <f aca="false">IF(E86="","",$B$7*E86^2)</f>
        <v/>
      </c>
    </row>
    <row r="87" customFormat="false" ht="15" hidden="false" customHeight="false" outlineLevel="0" collapsed="false">
      <c r="D87" s="12" t="n">
        <v>84</v>
      </c>
      <c r="E87" s="13"/>
      <c r="F87" s="14" t="str">
        <f aca="false">IF(E87="","",$B$7*E87^2)</f>
        <v/>
      </c>
    </row>
    <row r="88" customFormat="false" ht="15" hidden="false" customHeight="false" outlineLevel="0" collapsed="false">
      <c r="D88" s="12" t="n">
        <v>85</v>
      </c>
      <c r="E88" s="13"/>
      <c r="F88" s="14" t="str">
        <f aca="false">IF(E88="","",$B$7*E88^2)</f>
        <v/>
      </c>
    </row>
    <row r="89" customFormat="false" ht="15" hidden="false" customHeight="false" outlineLevel="0" collapsed="false">
      <c r="D89" s="12" t="n">
        <v>86</v>
      </c>
      <c r="E89" s="13"/>
      <c r="F89" s="14" t="str">
        <f aca="false">IF(E89="","",$B$7*E89^2)</f>
        <v/>
      </c>
    </row>
    <row r="90" customFormat="false" ht="15" hidden="false" customHeight="false" outlineLevel="0" collapsed="false">
      <c r="D90" s="12" t="n">
        <v>87</v>
      </c>
      <c r="E90" s="13"/>
      <c r="F90" s="14" t="str">
        <f aca="false">IF(E90="","",$B$7*E90^2)</f>
        <v/>
      </c>
    </row>
    <row r="91" customFormat="false" ht="15" hidden="false" customHeight="false" outlineLevel="0" collapsed="false">
      <c r="D91" s="12" t="n">
        <v>88</v>
      </c>
      <c r="E91" s="13"/>
      <c r="F91" s="14" t="str">
        <f aca="false">IF(E91="","",$B$7*E91^2)</f>
        <v/>
      </c>
    </row>
    <row r="92" customFormat="false" ht="15" hidden="false" customHeight="false" outlineLevel="0" collapsed="false">
      <c r="D92" s="12" t="n">
        <v>89</v>
      </c>
      <c r="E92" s="13"/>
      <c r="F92" s="14" t="str">
        <f aca="false">IF(E92="","",$B$7*E92^2)</f>
        <v/>
      </c>
    </row>
    <row r="93" customFormat="false" ht="15" hidden="false" customHeight="false" outlineLevel="0" collapsed="false">
      <c r="D93" s="12" t="n">
        <v>90</v>
      </c>
      <c r="E93" s="13"/>
      <c r="F93" s="14" t="str">
        <f aca="false">IF(E93="","",$B$7*E93^2)</f>
        <v/>
      </c>
    </row>
    <row r="94" customFormat="false" ht="15" hidden="false" customHeight="false" outlineLevel="0" collapsed="false">
      <c r="D94" s="12" t="n">
        <v>91</v>
      </c>
      <c r="E94" s="13"/>
      <c r="F94" s="14" t="str">
        <f aca="false">IF(E94="","",$B$7*E94^2)</f>
        <v/>
      </c>
    </row>
    <row r="95" customFormat="false" ht="15" hidden="false" customHeight="false" outlineLevel="0" collapsed="false">
      <c r="D95" s="12" t="n">
        <v>92</v>
      </c>
      <c r="E95" s="13"/>
      <c r="F95" s="14" t="str">
        <f aca="false">IF(E95="","",$B$7*E95^2)</f>
        <v/>
      </c>
    </row>
    <row r="96" customFormat="false" ht="15" hidden="false" customHeight="false" outlineLevel="0" collapsed="false">
      <c r="D96" s="12" t="n">
        <v>93</v>
      </c>
      <c r="E96" s="13"/>
      <c r="F96" s="14" t="str">
        <f aca="false">IF(E96="","",$B$7*E96^2)</f>
        <v/>
      </c>
    </row>
    <row r="97" customFormat="false" ht="15" hidden="false" customHeight="false" outlineLevel="0" collapsed="false">
      <c r="D97" s="12" t="n">
        <v>94</v>
      </c>
      <c r="E97" s="13"/>
      <c r="F97" s="14" t="str">
        <f aca="false">IF(E97="","",$B$7*E97^2)</f>
        <v/>
      </c>
    </row>
    <row r="98" customFormat="false" ht="15" hidden="false" customHeight="false" outlineLevel="0" collapsed="false">
      <c r="D98" s="12" t="n">
        <v>95</v>
      </c>
      <c r="E98" s="13"/>
      <c r="F98" s="14" t="str">
        <f aca="false">IF(E98="","",$B$7*E98^2)</f>
        <v/>
      </c>
    </row>
    <row r="99" customFormat="false" ht="15" hidden="false" customHeight="false" outlineLevel="0" collapsed="false">
      <c r="D99" s="12" t="n">
        <v>96</v>
      </c>
      <c r="E99" s="13"/>
      <c r="F99" s="14" t="str">
        <f aca="false">IF(E99="","",$B$7*E99^2)</f>
        <v/>
      </c>
    </row>
    <row r="100" customFormat="false" ht="15" hidden="false" customHeight="false" outlineLevel="0" collapsed="false">
      <c r="D100" s="12" t="n">
        <v>97</v>
      </c>
      <c r="E100" s="13"/>
      <c r="F100" s="14" t="str">
        <f aca="false">IF(E100="","",$B$7*E100^2)</f>
        <v/>
      </c>
    </row>
    <row r="101" customFormat="false" ht="15" hidden="false" customHeight="false" outlineLevel="0" collapsed="false">
      <c r="D101" s="12" t="n">
        <v>98</v>
      </c>
      <c r="E101" s="13"/>
      <c r="F101" s="14" t="str">
        <f aca="false">IF(E101="","",$B$7*E101^2)</f>
        <v/>
      </c>
    </row>
    <row r="102" customFormat="false" ht="15" hidden="false" customHeight="false" outlineLevel="0" collapsed="false">
      <c r="D102" s="12" t="n">
        <v>99</v>
      </c>
      <c r="E102" s="13"/>
      <c r="F102" s="14" t="str">
        <f aca="false">IF(E102="","",$B$7*E102^2)</f>
        <v/>
      </c>
    </row>
    <row r="103" customFormat="false" ht="15" hidden="false" customHeight="false" outlineLevel="0" collapsed="false">
      <c r="D103" s="12" t="n">
        <v>100</v>
      </c>
      <c r="E103" s="13"/>
      <c r="F103" s="14" t="str">
        <f aca="false">IF(E103="","",$B$7*E103^2)</f>
        <v/>
      </c>
    </row>
    <row r="104" customFormat="false" ht="15" hidden="false" customHeight="false" outlineLevel="0" collapsed="false">
      <c r="D104" s="12" t="n">
        <v>101</v>
      </c>
      <c r="E104" s="13"/>
      <c r="F104" s="14" t="str">
        <f aca="false">IF(E104="","",$B$7*E104^2)</f>
        <v/>
      </c>
    </row>
    <row r="105" customFormat="false" ht="15" hidden="false" customHeight="false" outlineLevel="0" collapsed="false">
      <c r="D105" s="12" t="n">
        <v>102</v>
      </c>
      <c r="E105" s="13"/>
      <c r="F105" s="14" t="str">
        <f aca="false">IF(E105="","",$B$7*E105^2)</f>
        <v/>
      </c>
    </row>
    <row r="106" customFormat="false" ht="15" hidden="false" customHeight="false" outlineLevel="0" collapsed="false">
      <c r="D106" s="12" t="n">
        <v>103</v>
      </c>
      <c r="E106" s="13"/>
      <c r="F106" s="14" t="str">
        <f aca="false">IF(E106="","",$B$7*E106^2)</f>
        <v/>
      </c>
    </row>
    <row r="107" customFormat="false" ht="15" hidden="false" customHeight="false" outlineLevel="0" collapsed="false">
      <c r="D107" s="12" t="n">
        <v>104</v>
      </c>
      <c r="E107" s="13"/>
      <c r="F107" s="14" t="str">
        <f aca="false">IF(E107="","",$B$7*E107^2)</f>
        <v/>
      </c>
    </row>
    <row r="108" customFormat="false" ht="15" hidden="false" customHeight="false" outlineLevel="0" collapsed="false">
      <c r="D108" s="12" t="n">
        <v>105</v>
      </c>
      <c r="E108" s="13"/>
      <c r="F108" s="14" t="str">
        <f aca="false">IF(E108="","",$B$7*E108^2)</f>
        <v/>
      </c>
    </row>
    <row r="109" customFormat="false" ht="15" hidden="false" customHeight="false" outlineLevel="0" collapsed="false">
      <c r="D109" s="12" t="n">
        <v>106</v>
      </c>
      <c r="E109" s="13"/>
      <c r="F109" s="14" t="str">
        <f aca="false">IF(E109="","",$B$7*E109^2)</f>
        <v/>
      </c>
    </row>
    <row r="110" customFormat="false" ht="15" hidden="false" customHeight="false" outlineLevel="0" collapsed="false">
      <c r="D110" s="12" t="n">
        <v>107</v>
      </c>
      <c r="E110" s="13"/>
      <c r="F110" s="14" t="str">
        <f aca="false">IF(E110="","",$B$7*E110^2)</f>
        <v/>
      </c>
    </row>
    <row r="111" customFormat="false" ht="15" hidden="false" customHeight="false" outlineLevel="0" collapsed="false">
      <c r="D111" s="12" t="n">
        <v>108</v>
      </c>
      <c r="E111" s="13"/>
      <c r="F111" s="14" t="str">
        <f aca="false">IF(E111="","",$B$7*E111^2)</f>
        <v/>
      </c>
    </row>
    <row r="112" customFormat="false" ht="15" hidden="false" customHeight="false" outlineLevel="0" collapsed="false">
      <c r="D112" s="12" t="n">
        <v>109</v>
      </c>
      <c r="E112" s="13"/>
      <c r="F112" s="14" t="str">
        <f aca="false">IF(E112="","",$B$7*E112^2)</f>
        <v/>
      </c>
    </row>
    <row r="113" customFormat="false" ht="15" hidden="false" customHeight="false" outlineLevel="0" collapsed="false">
      <c r="D113" s="12" t="n">
        <v>110</v>
      </c>
      <c r="E113" s="13"/>
      <c r="F113" s="14" t="str">
        <f aca="false">IF(E113="","",$B$7*E113^2)</f>
        <v/>
      </c>
    </row>
    <row r="114" customFormat="false" ht="15" hidden="false" customHeight="false" outlineLevel="0" collapsed="false">
      <c r="D114" s="12" t="n">
        <v>111</v>
      </c>
      <c r="E114" s="13"/>
      <c r="F114" s="14" t="str">
        <f aca="false">IF(E114="","",$B$7*E114^2)</f>
        <v/>
      </c>
    </row>
    <row r="115" customFormat="false" ht="15" hidden="false" customHeight="false" outlineLevel="0" collapsed="false">
      <c r="D115" s="12" t="n">
        <v>112</v>
      </c>
      <c r="E115" s="13"/>
      <c r="F115" s="14" t="str">
        <f aca="false">IF(E115="","",$B$7*E115^2)</f>
        <v/>
      </c>
    </row>
    <row r="116" customFormat="false" ht="15" hidden="false" customHeight="false" outlineLevel="0" collapsed="false">
      <c r="D116" s="12" t="n">
        <v>113</v>
      </c>
      <c r="E116" s="13"/>
      <c r="F116" s="14" t="str">
        <f aca="false">IF(E116="","",$B$7*E116^2)</f>
        <v/>
      </c>
    </row>
    <row r="117" customFormat="false" ht="15" hidden="false" customHeight="false" outlineLevel="0" collapsed="false">
      <c r="D117" s="12" t="n">
        <v>114</v>
      </c>
      <c r="E117" s="13"/>
      <c r="F117" s="14" t="str">
        <f aca="false">IF(E117="","",$B$7*E117^2)</f>
        <v/>
      </c>
    </row>
    <row r="118" customFormat="false" ht="15" hidden="false" customHeight="false" outlineLevel="0" collapsed="false">
      <c r="D118" s="12" t="n">
        <v>115</v>
      </c>
      <c r="E118" s="13"/>
      <c r="F118" s="14" t="str">
        <f aca="false">IF(E118="","",$B$7*E118^2)</f>
        <v/>
      </c>
    </row>
    <row r="119" customFormat="false" ht="15" hidden="false" customHeight="false" outlineLevel="0" collapsed="false">
      <c r="D119" s="12" t="n">
        <v>116</v>
      </c>
      <c r="E119" s="13"/>
      <c r="F119" s="14" t="str">
        <f aca="false">IF(E119="","",$B$7*E119^2)</f>
        <v/>
      </c>
    </row>
    <row r="120" customFormat="false" ht="15" hidden="false" customHeight="false" outlineLevel="0" collapsed="false">
      <c r="D120" s="12" t="n">
        <v>117</v>
      </c>
      <c r="E120" s="13"/>
      <c r="F120" s="14" t="str">
        <f aca="false">IF(E120="","",$B$7*E120^2)</f>
        <v/>
      </c>
    </row>
    <row r="121" customFormat="false" ht="15" hidden="false" customHeight="false" outlineLevel="0" collapsed="false">
      <c r="D121" s="12" t="n">
        <v>118</v>
      </c>
      <c r="E121" s="13"/>
      <c r="F121" s="14" t="str">
        <f aca="false">IF(E121="","",$B$7*E121^2)</f>
        <v/>
      </c>
    </row>
    <row r="122" customFormat="false" ht="15" hidden="false" customHeight="false" outlineLevel="0" collapsed="false">
      <c r="D122" s="12" t="n">
        <v>119</v>
      </c>
      <c r="E122" s="13"/>
      <c r="F122" s="14" t="str">
        <f aca="false">IF(E122="","",$B$7*E122^2)</f>
        <v/>
      </c>
    </row>
    <row r="123" customFormat="false" ht="15" hidden="false" customHeight="false" outlineLevel="0" collapsed="false">
      <c r="D123" s="12" t="n">
        <v>120</v>
      </c>
      <c r="E123" s="13"/>
      <c r="F123" s="14" t="str">
        <f aca="false">IF(E123="","",$B$7*E123^2)</f>
        <v/>
      </c>
    </row>
    <row r="124" customFormat="false" ht="15" hidden="false" customHeight="false" outlineLevel="0" collapsed="false">
      <c r="D124" s="12" t="n">
        <v>121</v>
      </c>
      <c r="E124" s="13"/>
      <c r="F124" s="14" t="str">
        <f aca="false">IF(E124="","",$B$7*E124^2)</f>
        <v/>
      </c>
    </row>
    <row r="125" customFormat="false" ht="15" hidden="false" customHeight="false" outlineLevel="0" collapsed="false">
      <c r="D125" s="12" t="n">
        <v>122</v>
      </c>
      <c r="E125" s="13"/>
      <c r="F125" s="14" t="str">
        <f aca="false">IF(E125="","",$B$7*E125^2)</f>
        <v/>
      </c>
    </row>
    <row r="126" customFormat="false" ht="15" hidden="false" customHeight="false" outlineLevel="0" collapsed="false">
      <c r="D126" s="12" t="n">
        <v>123</v>
      </c>
      <c r="E126" s="13"/>
      <c r="F126" s="14" t="str">
        <f aca="false">IF(E126="","",$B$7*E126^2)</f>
        <v/>
      </c>
    </row>
    <row r="127" customFormat="false" ht="15" hidden="false" customHeight="false" outlineLevel="0" collapsed="false">
      <c r="D127" s="12" t="n">
        <v>124</v>
      </c>
      <c r="E127" s="13"/>
      <c r="F127" s="14" t="str">
        <f aca="false">IF(E127="","",$B$7*E127^2)</f>
        <v/>
      </c>
    </row>
    <row r="128" customFormat="false" ht="15" hidden="false" customHeight="false" outlineLevel="0" collapsed="false">
      <c r="D128" s="12" t="n">
        <v>125</v>
      </c>
      <c r="E128" s="13"/>
      <c r="F128" s="14" t="str">
        <f aca="false">IF(E128="","",$B$7*E128^2)</f>
        <v/>
      </c>
    </row>
    <row r="129" customFormat="false" ht="15" hidden="false" customHeight="false" outlineLevel="0" collapsed="false">
      <c r="D129" s="12" t="n">
        <v>126</v>
      </c>
      <c r="E129" s="13"/>
      <c r="F129" s="14" t="str">
        <f aca="false">IF(E129="","",$B$7*E129^2)</f>
        <v/>
      </c>
    </row>
    <row r="130" customFormat="false" ht="15" hidden="false" customHeight="false" outlineLevel="0" collapsed="false">
      <c r="D130" s="12" t="n">
        <v>127</v>
      </c>
      <c r="E130" s="13"/>
      <c r="F130" s="14" t="str">
        <f aca="false">IF(E130="","",$B$7*E130^2)</f>
        <v/>
      </c>
    </row>
    <row r="131" customFormat="false" ht="15" hidden="false" customHeight="false" outlineLevel="0" collapsed="false">
      <c r="D131" s="12" t="n">
        <v>128</v>
      </c>
      <c r="E131" s="13"/>
      <c r="F131" s="14" t="str">
        <f aca="false">IF(E131="","",$B$7*E131^2)</f>
        <v/>
      </c>
    </row>
    <row r="132" customFormat="false" ht="15" hidden="false" customHeight="false" outlineLevel="0" collapsed="false">
      <c r="D132" s="12" t="n">
        <v>129</v>
      </c>
      <c r="E132" s="13"/>
      <c r="F132" s="14" t="str">
        <f aca="false">IF(E132="","",$B$7*E132^2)</f>
        <v/>
      </c>
    </row>
    <row r="133" customFormat="false" ht="15" hidden="false" customHeight="false" outlineLevel="0" collapsed="false">
      <c r="D133" s="12" t="n">
        <v>130</v>
      </c>
      <c r="E133" s="13"/>
      <c r="F133" s="14" t="str">
        <f aca="false">IF(E133="","",$B$7*E133^2)</f>
        <v/>
      </c>
    </row>
    <row r="134" customFormat="false" ht="15" hidden="false" customHeight="false" outlineLevel="0" collapsed="false">
      <c r="D134" s="12" t="n">
        <v>131</v>
      </c>
      <c r="E134" s="13"/>
      <c r="F134" s="14" t="str">
        <f aca="false">IF(E134="","",$B$7*E134^2)</f>
        <v/>
      </c>
    </row>
    <row r="135" customFormat="false" ht="15" hidden="false" customHeight="false" outlineLevel="0" collapsed="false">
      <c r="D135" s="12" t="n">
        <v>132</v>
      </c>
      <c r="E135" s="13"/>
      <c r="F135" s="14" t="str">
        <f aca="false">IF(E135="","",$B$7*E135^2)</f>
        <v/>
      </c>
    </row>
    <row r="136" customFormat="false" ht="15" hidden="false" customHeight="false" outlineLevel="0" collapsed="false">
      <c r="D136" s="12" t="n">
        <v>133</v>
      </c>
      <c r="E136" s="13"/>
      <c r="F136" s="14" t="str">
        <f aca="false">IF(E136="","",$B$7*E136^2)</f>
        <v/>
      </c>
    </row>
    <row r="137" customFormat="false" ht="15" hidden="false" customHeight="false" outlineLevel="0" collapsed="false">
      <c r="D137" s="12" t="n">
        <v>134</v>
      </c>
      <c r="E137" s="13"/>
      <c r="F137" s="14" t="str">
        <f aca="false">IF(E137="","",$B$7*E137^2)</f>
        <v/>
      </c>
    </row>
    <row r="138" customFormat="false" ht="15" hidden="false" customHeight="false" outlineLevel="0" collapsed="false">
      <c r="D138" s="12" t="n">
        <v>135</v>
      </c>
      <c r="E138" s="13"/>
      <c r="F138" s="14" t="str">
        <f aca="false">IF(E138="","",$B$7*E138^2)</f>
        <v/>
      </c>
    </row>
    <row r="139" customFormat="false" ht="15" hidden="false" customHeight="false" outlineLevel="0" collapsed="false">
      <c r="D139" s="12" t="n">
        <v>136</v>
      </c>
      <c r="E139" s="13"/>
      <c r="F139" s="14" t="str">
        <f aca="false">IF(E139="","",$B$7*E139^2)</f>
        <v/>
      </c>
    </row>
    <row r="140" customFormat="false" ht="15" hidden="false" customHeight="false" outlineLevel="0" collapsed="false">
      <c r="D140" s="12" t="n">
        <v>137</v>
      </c>
      <c r="E140" s="13"/>
      <c r="F140" s="14" t="str">
        <f aca="false">IF(E140="","",$B$7*E140^2)</f>
        <v/>
      </c>
    </row>
    <row r="141" customFormat="false" ht="15" hidden="false" customHeight="false" outlineLevel="0" collapsed="false">
      <c r="D141" s="12" t="n">
        <v>138</v>
      </c>
      <c r="E141" s="13"/>
      <c r="F141" s="14" t="str">
        <f aca="false">IF(E141="","",$B$7*E141^2)</f>
        <v/>
      </c>
    </row>
    <row r="142" customFormat="false" ht="15" hidden="false" customHeight="false" outlineLevel="0" collapsed="false">
      <c r="D142" s="12" t="n">
        <v>139</v>
      </c>
      <c r="E142" s="13"/>
      <c r="F142" s="14" t="str">
        <f aca="false">IF(E142="","",$B$7*E142^2)</f>
        <v/>
      </c>
    </row>
    <row r="143" customFormat="false" ht="15" hidden="false" customHeight="false" outlineLevel="0" collapsed="false">
      <c r="D143" s="12" t="n">
        <v>140</v>
      </c>
      <c r="E143" s="13"/>
      <c r="F143" s="14" t="str">
        <f aca="false">IF(E143="","",$B$7*E143^2)</f>
        <v/>
      </c>
    </row>
    <row r="144" customFormat="false" ht="15" hidden="false" customHeight="false" outlineLevel="0" collapsed="false">
      <c r="D144" s="12" t="n">
        <v>141</v>
      </c>
      <c r="E144" s="13"/>
      <c r="F144" s="14" t="str">
        <f aca="false">IF(E144="","",$B$7*E144^2)</f>
        <v/>
      </c>
    </row>
    <row r="145" customFormat="false" ht="15" hidden="false" customHeight="false" outlineLevel="0" collapsed="false">
      <c r="D145" s="12" t="n">
        <v>142</v>
      </c>
      <c r="E145" s="13"/>
      <c r="F145" s="14" t="str">
        <f aca="false">IF(E145="","",$B$7*E145^2)</f>
        <v/>
      </c>
    </row>
    <row r="146" customFormat="false" ht="15" hidden="false" customHeight="false" outlineLevel="0" collapsed="false">
      <c r="D146" s="12" t="n">
        <v>143</v>
      </c>
      <c r="E146" s="13"/>
      <c r="F146" s="14" t="str">
        <f aca="false">IF(E146="","",$B$7*E146^2)</f>
        <v/>
      </c>
    </row>
    <row r="147" customFormat="false" ht="15" hidden="false" customHeight="false" outlineLevel="0" collapsed="false">
      <c r="D147" s="12" t="n">
        <v>144</v>
      </c>
      <c r="E147" s="13"/>
      <c r="F147" s="14" t="str">
        <f aca="false">IF(E147="","",$B$7*E147^2)</f>
        <v/>
      </c>
    </row>
    <row r="148" customFormat="false" ht="15" hidden="false" customHeight="false" outlineLevel="0" collapsed="false">
      <c r="D148" s="12" t="n">
        <v>145</v>
      </c>
      <c r="E148" s="13"/>
      <c r="F148" s="14" t="str">
        <f aca="false">IF(E148="","",$B$7*E148^2)</f>
        <v/>
      </c>
    </row>
    <row r="149" customFormat="false" ht="15" hidden="false" customHeight="false" outlineLevel="0" collapsed="false">
      <c r="D149" s="12" t="n">
        <v>146</v>
      </c>
      <c r="E149" s="13"/>
      <c r="F149" s="14" t="str">
        <f aca="false">IF(E149="","",$B$7*E149^2)</f>
        <v/>
      </c>
    </row>
    <row r="150" customFormat="false" ht="15" hidden="false" customHeight="false" outlineLevel="0" collapsed="false">
      <c r="D150" s="12" t="n">
        <v>147</v>
      </c>
      <c r="E150" s="13"/>
      <c r="F150" s="14" t="str">
        <f aca="false">IF(E150="","",$B$7*E150^2)</f>
        <v/>
      </c>
    </row>
    <row r="151" customFormat="false" ht="15" hidden="false" customHeight="false" outlineLevel="0" collapsed="false">
      <c r="D151" s="12" t="n">
        <v>148</v>
      </c>
      <c r="E151" s="13"/>
      <c r="F151" s="14" t="str">
        <f aca="false">IF(E151="","",$B$7*E151^2)</f>
        <v/>
      </c>
    </row>
    <row r="152" customFormat="false" ht="15" hidden="false" customHeight="false" outlineLevel="0" collapsed="false">
      <c r="D152" s="12" t="n">
        <v>149</v>
      </c>
      <c r="E152" s="13"/>
      <c r="F152" s="14" t="str">
        <f aca="false">IF(E152="","",$B$7*E152^2)</f>
        <v/>
      </c>
    </row>
    <row r="153" customFormat="false" ht="15" hidden="false" customHeight="false" outlineLevel="0" collapsed="false">
      <c r="D153" s="12" t="n">
        <v>150</v>
      </c>
      <c r="E153" s="13"/>
      <c r="F153" s="14" t="str">
        <f aca="false">IF(E153="","",$B$7*E153^2)</f>
        <v/>
      </c>
    </row>
    <row r="154" customFormat="false" ht="15" hidden="false" customHeight="false" outlineLevel="0" collapsed="false">
      <c r="D154" s="12" t="n">
        <v>151</v>
      </c>
      <c r="E154" s="13"/>
      <c r="F154" s="14" t="str">
        <f aca="false">IF(E154="","",$B$7*E154^2)</f>
        <v/>
      </c>
    </row>
    <row r="155" customFormat="false" ht="15" hidden="false" customHeight="false" outlineLevel="0" collapsed="false">
      <c r="D155" s="12" t="n">
        <v>152</v>
      </c>
      <c r="E155" s="13"/>
      <c r="F155" s="14" t="str">
        <f aca="false">IF(E155="","",$B$7*E155^2)</f>
        <v/>
      </c>
    </row>
    <row r="156" customFormat="false" ht="15" hidden="false" customHeight="false" outlineLevel="0" collapsed="false">
      <c r="D156" s="12" t="n">
        <v>153</v>
      </c>
      <c r="E156" s="13"/>
      <c r="F156" s="14" t="str">
        <f aca="false">IF(E156="","",$B$7*E156^2)</f>
        <v/>
      </c>
    </row>
    <row r="157" customFormat="false" ht="15" hidden="false" customHeight="false" outlineLevel="0" collapsed="false">
      <c r="D157" s="12" t="n">
        <v>154</v>
      </c>
      <c r="E157" s="13"/>
      <c r="F157" s="14" t="str">
        <f aca="false">IF(E157="","",$B$7*E157^2)</f>
        <v/>
      </c>
    </row>
    <row r="158" customFormat="false" ht="15" hidden="false" customHeight="false" outlineLevel="0" collapsed="false">
      <c r="D158" s="12" t="n">
        <v>155</v>
      </c>
      <c r="E158" s="13"/>
      <c r="F158" s="14" t="str">
        <f aca="false">IF(E158="","",$B$7*E158^2)</f>
        <v/>
      </c>
    </row>
    <row r="159" customFormat="false" ht="15" hidden="false" customHeight="false" outlineLevel="0" collapsed="false">
      <c r="D159" s="12" t="n">
        <v>156</v>
      </c>
      <c r="E159" s="13"/>
      <c r="F159" s="14" t="str">
        <f aca="false">IF(E159="","",$B$7*E159^2)</f>
        <v/>
      </c>
    </row>
    <row r="160" customFormat="false" ht="15" hidden="false" customHeight="false" outlineLevel="0" collapsed="false">
      <c r="D160" s="12" t="n">
        <v>157</v>
      </c>
      <c r="E160" s="13"/>
      <c r="F160" s="14" t="str">
        <f aca="false">IF(E160="","",$B$7*E160^2)</f>
        <v/>
      </c>
    </row>
    <row r="161" customFormat="false" ht="15" hidden="false" customHeight="false" outlineLevel="0" collapsed="false">
      <c r="D161" s="12" t="n">
        <v>158</v>
      </c>
      <c r="E161" s="13"/>
      <c r="F161" s="14" t="str">
        <f aca="false">IF(E161="","",$B$7*E161^2)</f>
        <v/>
      </c>
    </row>
    <row r="162" customFormat="false" ht="15" hidden="false" customHeight="false" outlineLevel="0" collapsed="false">
      <c r="D162" s="12" t="n">
        <v>159</v>
      </c>
      <c r="E162" s="13"/>
      <c r="F162" s="14" t="str">
        <f aca="false">IF(E162="","",$B$7*E162^2)</f>
        <v/>
      </c>
    </row>
    <row r="163" customFormat="false" ht="15" hidden="false" customHeight="false" outlineLevel="0" collapsed="false">
      <c r="D163" s="12" t="n">
        <v>160</v>
      </c>
      <c r="E163" s="13"/>
      <c r="F163" s="14" t="str">
        <f aca="false">IF(E163="","",$B$7*E163^2)</f>
        <v/>
      </c>
    </row>
    <row r="164" customFormat="false" ht="15" hidden="false" customHeight="false" outlineLevel="0" collapsed="false">
      <c r="D164" s="12" t="n">
        <v>161</v>
      </c>
      <c r="E164" s="13"/>
      <c r="F164" s="14" t="str">
        <f aca="false">IF(E164="","",$B$7*E164^2)</f>
        <v/>
      </c>
    </row>
    <row r="165" customFormat="false" ht="15" hidden="false" customHeight="false" outlineLevel="0" collapsed="false">
      <c r="D165" s="12" t="n">
        <v>162</v>
      </c>
      <c r="E165" s="13"/>
      <c r="F165" s="14" t="str">
        <f aca="false">IF(E165="","",$B$7*E165^2)</f>
        <v/>
      </c>
    </row>
    <row r="166" customFormat="false" ht="15" hidden="false" customHeight="false" outlineLevel="0" collapsed="false">
      <c r="D166" s="12" t="n">
        <v>163</v>
      </c>
      <c r="E166" s="13"/>
      <c r="F166" s="14" t="str">
        <f aca="false">IF(E166="","",$B$7*E166^2)</f>
        <v/>
      </c>
    </row>
    <row r="167" customFormat="false" ht="15" hidden="false" customHeight="false" outlineLevel="0" collapsed="false">
      <c r="D167" s="12" t="n">
        <v>164</v>
      </c>
      <c r="E167" s="13"/>
      <c r="F167" s="14" t="str">
        <f aca="false">IF(E167="","",$B$7*E167^2)</f>
        <v/>
      </c>
    </row>
    <row r="168" customFormat="false" ht="15" hidden="false" customHeight="false" outlineLevel="0" collapsed="false">
      <c r="D168" s="12" t="n">
        <v>165</v>
      </c>
      <c r="E168" s="13"/>
      <c r="F168" s="14" t="str">
        <f aca="false">IF(E168="","",$B$7*E168^2)</f>
        <v/>
      </c>
    </row>
    <row r="169" customFormat="false" ht="15" hidden="false" customHeight="false" outlineLevel="0" collapsed="false">
      <c r="D169" s="12" t="n">
        <v>166</v>
      </c>
      <c r="E169" s="13"/>
      <c r="F169" s="14" t="str">
        <f aca="false">IF(E169="","",$B$7*E169^2)</f>
        <v/>
      </c>
    </row>
    <row r="170" customFormat="false" ht="15" hidden="false" customHeight="false" outlineLevel="0" collapsed="false">
      <c r="D170" s="12" t="n">
        <v>167</v>
      </c>
      <c r="E170" s="13"/>
      <c r="F170" s="14" t="str">
        <f aca="false">IF(E170="","",$B$7*E170^2)</f>
        <v/>
      </c>
    </row>
    <row r="171" customFormat="false" ht="15" hidden="false" customHeight="false" outlineLevel="0" collapsed="false">
      <c r="D171" s="12" t="n">
        <v>168</v>
      </c>
      <c r="E171" s="13"/>
      <c r="F171" s="14" t="str">
        <f aca="false">IF(E171="","",$B$7*E171^2)</f>
        <v/>
      </c>
    </row>
    <row r="172" customFormat="false" ht="15" hidden="false" customHeight="false" outlineLevel="0" collapsed="false">
      <c r="D172" s="12" t="n">
        <v>169</v>
      </c>
      <c r="E172" s="13"/>
      <c r="F172" s="14" t="str">
        <f aca="false">IF(E172="","",$B$7*E172^2)</f>
        <v/>
      </c>
    </row>
    <row r="173" customFormat="false" ht="15" hidden="false" customHeight="false" outlineLevel="0" collapsed="false">
      <c r="D173" s="12" t="n">
        <v>170</v>
      </c>
      <c r="E173" s="13"/>
      <c r="F173" s="14" t="str">
        <f aca="false">IF(E173="","",$B$7*E173^2)</f>
        <v/>
      </c>
    </row>
    <row r="174" customFormat="false" ht="15" hidden="false" customHeight="false" outlineLevel="0" collapsed="false">
      <c r="D174" s="12" t="n">
        <v>171</v>
      </c>
      <c r="E174" s="13"/>
      <c r="F174" s="14" t="str">
        <f aca="false">IF(E174="","",$B$7*E174^2)</f>
        <v/>
      </c>
    </row>
    <row r="175" customFormat="false" ht="15" hidden="false" customHeight="false" outlineLevel="0" collapsed="false">
      <c r="D175" s="12" t="n">
        <v>172</v>
      </c>
      <c r="E175" s="13"/>
      <c r="F175" s="14" t="str">
        <f aca="false">IF(E175="","",$B$7*E175^2)</f>
        <v/>
      </c>
    </row>
    <row r="176" customFormat="false" ht="15" hidden="false" customHeight="false" outlineLevel="0" collapsed="false">
      <c r="D176" s="12" t="n">
        <v>173</v>
      </c>
      <c r="E176" s="13"/>
      <c r="F176" s="14" t="str">
        <f aca="false">IF(E176="","",$B$7*E176^2)</f>
        <v/>
      </c>
    </row>
    <row r="177" customFormat="false" ht="15" hidden="false" customHeight="false" outlineLevel="0" collapsed="false">
      <c r="D177" s="12" t="n">
        <v>174</v>
      </c>
      <c r="E177" s="13"/>
      <c r="F177" s="14" t="str">
        <f aca="false">IF(E177="","",$B$7*E177^2)</f>
        <v/>
      </c>
    </row>
    <row r="178" customFormat="false" ht="15" hidden="false" customHeight="false" outlineLevel="0" collapsed="false">
      <c r="D178" s="12" t="n">
        <v>175</v>
      </c>
      <c r="E178" s="13"/>
      <c r="F178" s="14" t="str">
        <f aca="false">IF(E178="","",$B$7*E178^2)</f>
        <v/>
      </c>
    </row>
    <row r="179" customFormat="false" ht="15" hidden="false" customHeight="false" outlineLevel="0" collapsed="false">
      <c r="D179" s="12" t="n">
        <v>176</v>
      </c>
      <c r="E179" s="13"/>
      <c r="F179" s="14" t="str">
        <f aca="false">IF(E179="","",$B$7*E179^2)</f>
        <v/>
      </c>
    </row>
    <row r="180" customFormat="false" ht="15" hidden="false" customHeight="false" outlineLevel="0" collapsed="false">
      <c r="D180" s="12" t="n">
        <v>177</v>
      </c>
      <c r="E180" s="13"/>
      <c r="F180" s="14" t="str">
        <f aca="false">IF(E180="","",$B$7*E180^2)</f>
        <v/>
      </c>
    </row>
    <row r="181" customFormat="false" ht="15" hidden="false" customHeight="false" outlineLevel="0" collapsed="false">
      <c r="D181" s="12" t="n">
        <v>178</v>
      </c>
      <c r="E181" s="13"/>
      <c r="F181" s="14" t="str">
        <f aca="false">IF(E181="","",$B$7*E181^2)</f>
        <v/>
      </c>
    </row>
    <row r="182" customFormat="false" ht="15" hidden="false" customHeight="false" outlineLevel="0" collapsed="false">
      <c r="D182" s="12" t="n">
        <v>179</v>
      </c>
      <c r="E182" s="13"/>
      <c r="F182" s="14" t="str">
        <f aca="false">IF(E182="","",$B$7*E182^2)</f>
        <v/>
      </c>
    </row>
    <row r="183" customFormat="false" ht="15" hidden="false" customHeight="false" outlineLevel="0" collapsed="false">
      <c r="D183" s="12" t="n">
        <v>180</v>
      </c>
      <c r="E183" s="13"/>
      <c r="F183" s="14" t="str">
        <f aca="false">IF(E183="","",$B$7*E183^2)</f>
        <v/>
      </c>
    </row>
    <row r="184" customFormat="false" ht="15" hidden="false" customHeight="false" outlineLevel="0" collapsed="false">
      <c r="D184" s="12" t="n">
        <v>181</v>
      </c>
      <c r="E184" s="13"/>
      <c r="F184" s="14" t="str">
        <f aca="false">IF(E184="","",$B$7*E184^2)</f>
        <v/>
      </c>
    </row>
    <row r="185" customFormat="false" ht="15" hidden="false" customHeight="false" outlineLevel="0" collapsed="false">
      <c r="D185" s="12" t="n">
        <v>182</v>
      </c>
      <c r="E185" s="13"/>
      <c r="F185" s="14" t="str">
        <f aca="false">IF(E185="","",$B$7*E185^2)</f>
        <v/>
      </c>
    </row>
    <row r="186" customFormat="false" ht="15" hidden="false" customHeight="false" outlineLevel="0" collapsed="false">
      <c r="D186" s="12" t="n">
        <v>183</v>
      </c>
      <c r="E186" s="13"/>
      <c r="F186" s="14" t="str">
        <f aca="false">IF(E186="","",$B$7*E186^2)</f>
        <v/>
      </c>
    </row>
    <row r="187" customFormat="false" ht="15" hidden="false" customHeight="false" outlineLevel="0" collapsed="false">
      <c r="D187" s="12" t="n">
        <v>184</v>
      </c>
      <c r="E187" s="13"/>
      <c r="F187" s="14" t="str">
        <f aca="false">IF(E187="","",$B$7*E187^2)</f>
        <v/>
      </c>
    </row>
    <row r="188" customFormat="false" ht="15" hidden="false" customHeight="false" outlineLevel="0" collapsed="false">
      <c r="D188" s="12" t="n">
        <v>185</v>
      </c>
      <c r="E188" s="13"/>
      <c r="F188" s="14" t="str">
        <f aca="false">IF(E188="","",$B$7*E188^2)</f>
        <v/>
      </c>
    </row>
    <row r="189" customFormat="false" ht="15" hidden="false" customHeight="false" outlineLevel="0" collapsed="false">
      <c r="D189" s="12" t="n">
        <v>186</v>
      </c>
      <c r="E189" s="13"/>
      <c r="F189" s="14" t="str">
        <f aca="false">IF(E189="","",$B$7*E189^2)</f>
        <v/>
      </c>
    </row>
    <row r="190" customFormat="false" ht="15" hidden="false" customHeight="false" outlineLevel="0" collapsed="false">
      <c r="D190" s="12" t="n">
        <v>187</v>
      </c>
      <c r="E190" s="13"/>
      <c r="F190" s="14" t="str">
        <f aca="false">IF(E190="","",$B$7*E190^2)</f>
        <v/>
      </c>
    </row>
    <row r="191" customFormat="false" ht="15" hidden="false" customHeight="false" outlineLevel="0" collapsed="false">
      <c r="D191" s="12" t="n">
        <v>188</v>
      </c>
      <c r="E191" s="13"/>
      <c r="F191" s="14" t="str">
        <f aca="false">IF(E191="","",$B$7*E191^2)</f>
        <v/>
      </c>
    </row>
    <row r="192" customFormat="false" ht="15" hidden="false" customHeight="false" outlineLevel="0" collapsed="false">
      <c r="D192" s="12" t="n">
        <v>189</v>
      </c>
      <c r="E192" s="13"/>
      <c r="F192" s="14" t="str">
        <f aca="false">IF(E192="","",$B$7*E192^2)</f>
        <v/>
      </c>
    </row>
    <row r="193" customFormat="false" ht="15" hidden="false" customHeight="false" outlineLevel="0" collapsed="false">
      <c r="D193" s="12" t="n">
        <v>190</v>
      </c>
      <c r="E193" s="13"/>
      <c r="F193" s="14" t="str">
        <f aca="false">IF(E193="","",$B$7*E193^2)</f>
        <v/>
      </c>
    </row>
    <row r="194" customFormat="false" ht="15" hidden="false" customHeight="false" outlineLevel="0" collapsed="false">
      <c r="D194" s="12" t="n">
        <v>191</v>
      </c>
      <c r="E194" s="13"/>
      <c r="F194" s="14" t="str">
        <f aca="false">IF(E194="","",$B$7*E194^2)</f>
        <v/>
      </c>
    </row>
    <row r="195" customFormat="false" ht="15" hidden="false" customHeight="false" outlineLevel="0" collapsed="false">
      <c r="D195" s="12" t="n">
        <v>192</v>
      </c>
      <c r="E195" s="13"/>
      <c r="F195" s="14" t="str">
        <f aca="false">IF(E195="","",$B$7*E195^2)</f>
        <v/>
      </c>
    </row>
    <row r="196" customFormat="false" ht="15" hidden="false" customHeight="false" outlineLevel="0" collapsed="false">
      <c r="D196" s="12" t="n">
        <v>193</v>
      </c>
      <c r="E196" s="13"/>
      <c r="F196" s="14" t="str">
        <f aca="false">IF(E196="","",$B$7*E196^2)</f>
        <v/>
      </c>
    </row>
    <row r="197" customFormat="false" ht="15" hidden="false" customHeight="false" outlineLevel="0" collapsed="false">
      <c r="D197" s="12" t="n">
        <v>194</v>
      </c>
      <c r="E197" s="13"/>
      <c r="F197" s="14" t="str">
        <f aca="false">IF(E197="","",$B$7*E197^2)</f>
        <v/>
      </c>
    </row>
    <row r="198" customFormat="false" ht="15" hidden="false" customHeight="false" outlineLevel="0" collapsed="false">
      <c r="D198" s="12" t="n">
        <v>195</v>
      </c>
      <c r="E198" s="13"/>
      <c r="F198" s="14" t="str">
        <f aca="false">IF(E198="","",$B$7*E198^2)</f>
        <v/>
      </c>
    </row>
    <row r="199" customFormat="false" ht="15" hidden="false" customHeight="false" outlineLevel="0" collapsed="false">
      <c r="D199" s="12" t="n">
        <v>196</v>
      </c>
      <c r="E199" s="13"/>
      <c r="F199" s="14" t="str">
        <f aca="false">IF(E199="","",$B$7*E199^2)</f>
        <v/>
      </c>
    </row>
    <row r="200" customFormat="false" ht="15" hidden="false" customHeight="false" outlineLevel="0" collapsed="false">
      <c r="D200" s="12" t="n">
        <v>197</v>
      </c>
      <c r="E200" s="13"/>
      <c r="F200" s="14" t="str">
        <f aca="false">IF(E200="","",$B$7*E200^2)</f>
        <v/>
      </c>
    </row>
    <row r="201" customFormat="false" ht="15" hidden="false" customHeight="false" outlineLevel="0" collapsed="false">
      <c r="D201" s="12" t="n">
        <v>198</v>
      </c>
      <c r="E201" s="13"/>
      <c r="F201" s="14" t="str">
        <f aca="false">IF(E201="","",$B$7*E201^2)</f>
        <v/>
      </c>
    </row>
    <row r="202" customFormat="false" ht="15" hidden="false" customHeight="false" outlineLevel="0" collapsed="false">
      <c r="D202" s="12" t="n">
        <v>199</v>
      </c>
      <c r="E202" s="13"/>
      <c r="F202" s="14" t="str">
        <f aca="false">IF(E202="","",$B$7*E202^2)</f>
        <v/>
      </c>
    </row>
    <row r="203" customFormat="false" ht="15" hidden="false" customHeight="false" outlineLevel="0" collapsed="false">
      <c r="D203" s="12" t="n">
        <v>200</v>
      </c>
      <c r="E203" s="13"/>
      <c r="F203" s="14" t="str">
        <f aca="false">IF(E203="","",$B$7*E203^2)</f>
        <v/>
      </c>
    </row>
    <row r="204" customFormat="false" ht="15" hidden="false" customHeight="false" outlineLevel="0" collapsed="false">
      <c r="D204" s="12" t="n">
        <v>201</v>
      </c>
      <c r="E204" s="13"/>
      <c r="F204" s="14" t="str">
        <f aca="false">IF(E204="","",$B$7*E204^2)</f>
        <v/>
      </c>
    </row>
    <row r="205" customFormat="false" ht="15" hidden="false" customHeight="false" outlineLevel="0" collapsed="false">
      <c r="D205" s="12" t="n">
        <v>202</v>
      </c>
      <c r="E205" s="13"/>
      <c r="F205" s="14" t="str">
        <f aca="false">IF(E205="","",$B$7*E205^2)</f>
        <v/>
      </c>
    </row>
    <row r="206" customFormat="false" ht="15" hidden="false" customHeight="false" outlineLevel="0" collapsed="false">
      <c r="D206" s="12" t="n">
        <v>203</v>
      </c>
      <c r="E206" s="13"/>
      <c r="F206" s="14" t="str">
        <f aca="false">IF(E206="","",$B$7*E206^2)</f>
        <v/>
      </c>
    </row>
    <row r="207" customFormat="false" ht="15" hidden="false" customHeight="false" outlineLevel="0" collapsed="false">
      <c r="D207" s="12" t="n">
        <v>204</v>
      </c>
      <c r="E207" s="13"/>
      <c r="F207" s="14" t="str">
        <f aca="false">IF(E207="","",$B$7*E207^2)</f>
        <v/>
      </c>
    </row>
    <row r="208" customFormat="false" ht="15" hidden="false" customHeight="false" outlineLevel="0" collapsed="false">
      <c r="D208" s="12" t="n">
        <v>205</v>
      </c>
      <c r="E208" s="13"/>
      <c r="F208" s="14" t="str">
        <f aca="false">IF(E208="","",$B$7*E208^2)</f>
        <v/>
      </c>
    </row>
    <row r="209" customFormat="false" ht="15" hidden="false" customHeight="false" outlineLevel="0" collapsed="false">
      <c r="D209" s="12" t="n">
        <v>206</v>
      </c>
      <c r="E209" s="13"/>
      <c r="F209" s="14" t="str">
        <f aca="false">IF(E209="","",$B$7*E209^2)</f>
        <v/>
      </c>
    </row>
    <row r="210" customFormat="false" ht="15" hidden="false" customHeight="false" outlineLevel="0" collapsed="false">
      <c r="D210" s="12" t="n">
        <v>207</v>
      </c>
      <c r="E210" s="13"/>
      <c r="F210" s="14" t="str">
        <f aca="false">IF(E210="","",$B$7*E210^2)</f>
        <v/>
      </c>
    </row>
    <row r="211" customFormat="false" ht="15" hidden="false" customHeight="false" outlineLevel="0" collapsed="false">
      <c r="D211" s="12" t="n">
        <v>208</v>
      </c>
      <c r="E211" s="13"/>
      <c r="F211" s="14" t="str">
        <f aca="false">IF(E211="","",$B$7*E211^2)</f>
        <v/>
      </c>
    </row>
    <row r="212" customFormat="false" ht="15" hidden="false" customHeight="false" outlineLevel="0" collapsed="false">
      <c r="D212" s="12" t="n">
        <v>209</v>
      </c>
      <c r="E212" s="13"/>
      <c r="F212" s="14" t="str">
        <f aca="false">IF(E212="","",$B$7*E212^2)</f>
        <v/>
      </c>
    </row>
    <row r="213" customFormat="false" ht="15" hidden="false" customHeight="false" outlineLevel="0" collapsed="false">
      <c r="D213" s="12" t="n">
        <v>210</v>
      </c>
      <c r="E213" s="13"/>
      <c r="F213" s="14" t="str">
        <f aca="false">IF(E213="","",$B$7*E213^2)</f>
        <v/>
      </c>
    </row>
    <row r="214" customFormat="false" ht="15" hidden="false" customHeight="false" outlineLevel="0" collapsed="false">
      <c r="D214" s="12" t="n">
        <v>211</v>
      </c>
      <c r="E214" s="13"/>
      <c r="F214" s="14" t="str">
        <f aca="false">IF(E214="","",$B$7*E214^2)</f>
        <v/>
      </c>
    </row>
    <row r="215" customFormat="false" ht="15" hidden="false" customHeight="false" outlineLevel="0" collapsed="false">
      <c r="D215" s="12" t="n">
        <v>212</v>
      </c>
      <c r="E215" s="13"/>
      <c r="F215" s="14" t="str">
        <f aca="false">IF(E215="","",$B$7*E215^2)</f>
        <v/>
      </c>
    </row>
    <row r="216" customFormat="false" ht="15" hidden="false" customHeight="false" outlineLevel="0" collapsed="false">
      <c r="D216" s="12" t="n">
        <v>213</v>
      </c>
      <c r="E216" s="13"/>
      <c r="F216" s="14" t="str">
        <f aca="false">IF(E216="","",$B$7*E216^2)</f>
        <v/>
      </c>
    </row>
    <row r="217" customFormat="false" ht="15" hidden="false" customHeight="false" outlineLevel="0" collapsed="false">
      <c r="D217" s="12" t="n">
        <v>214</v>
      </c>
      <c r="E217" s="13"/>
      <c r="F217" s="14" t="str">
        <f aca="false">IF(E217="","",$B$7*E217^2)</f>
        <v/>
      </c>
    </row>
    <row r="218" customFormat="false" ht="15" hidden="false" customHeight="false" outlineLevel="0" collapsed="false">
      <c r="D218" s="12" t="n">
        <v>215</v>
      </c>
      <c r="E218" s="13"/>
      <c r="F218" s="14" t="str">
        <f aca="false">IF(E218="","",$B$7*E218^2)</f>
        <v/>
      </c>
    </row>
    <row r="219" customFormat="false" ht="15" hidden="false" customHeight="false" outlineLevel="0" collapsed="false">
      <c r="D219" s="12" t="n">
        <v>216</v>
      </c>
      <c r="E219" s="13"/>
      <c r="F219" s="14" t="str">
        <f aca="false">IF(E219="","",$B$7*E219^2)</f>
        <v/>
      </c>
    </row>
    <row r="220" customFormat="false" ht="15" hidden="false" customHeight="false" outlineLevel="0" collapsed="false">
      <c r="D220" s="12" t="n">
        <v>217</v>
      </c>
      <c r="E220" s="13"/>
      <c r="F220" s="14" t="str">
        <f aca="false">IF(E220="","",$B$7*E220^2)</f>
        <v/>
      </c>
    </row>
    <row r="221" customFormat="false" ht="15" hidden="false" customHeight="false" outlineLevel="0" collapsed="false">
      <c r="D221" s="12" t="n">
        <v>218</v>
      </c>
      <c r="E221" s="13"/>
      <c r="F221" s="14" t="str">
        <f aca="false">IF(E221="","",$B$7*E221^2)</f>
        <v/>
      </c>
    </row>
    <row r="222" customFormat="false" ht="15" hidden="false" customHeight="false" outlineLevel="0" collapsed="false">
      <c r="D222" s="12" t="n">
        <v>219</v>
      </c>
      <c r="E222" s="13"/>
      <c r="F222" s="14" t="str">
        <f aca="false">IF(E222="","",$B$7*E222^2)</f>
        <v/>
      </c>
    </row>
    <row r="223" customFormat="false" ht="15" hidden="false" customHeight="false" outlineLevel="0" collapsed="false">
      <c r="D223" s="12" t="n">
        <v>220</v>
      </c>
      <c r="E223" s="13"/>
      <c r="F223" s="14" t="str">
        <f aca="false">IF(E223="","",$B$7*E223^2)</f>
        <v/>
      </c>
    </row>
    <row r="224" customFormat="false" ht="15" hidden="false" customHeight="false" outlineLevel="0" collapsed="false">
      <c r="D224" s="12" t="n">
        <v>221</v>
      </c>
      <c r="E224" s="13"/>
      <c r="F224" s="14" t="str">
        <f aca="false">IF(E224="","",$B$7*E224^2)</f>
        <v/>
      </c>
    </row>
    <row r="225" customFormat="false" ht="15" hidden="false" customHeight="false" outlineLevel="0" collapsed="false">
      <c r="D225" s="12" t="n">
        <v>222</v>
      </c>
      <c r="E225" s="13"/>
      <c r="F225" s="14" t="str">
        <f aca="false">IF(E225="","",$B$7*E225^2)</f>
        <v/>
      </c>
    </row>
    <row r="226" customFormat="false" ht="15" hidden="false" customHeight="false" outlineLevel="0" collapsed="false">
      <c r="D226" s="12" t="n">
        <v>223</v>
      </c>
      <c r="E226" s="13"/>
      <c r="F226" s="14" t="str">
        <f aca="false">IF(E226="","",$B$7*E226^2)</f>
        <v/>
      </c>
    </row>
    <row r="227" customFormat="false" ht="15" hidden="false" customHeight="false" outlineLevel="0" collapsed="false">
      <c r="D227" s="12" t="n">
        <v>224</v>
      </c>
      <c r="E227" s="13"/>
      <c r="F227" s="14" t="str">
        <f aca="false">IF(E227="","",$B$7*E227^2)</f>
        <v/>
      </c>
    </row>
    <row r="228" customFormat="false" ht="15" hidden="false" customHeight="false" outlineLevel="0" collapsed="false">
      <c r="D228" s="12" t="n">
        <v>225</v>
      </c>
      <c r="E228" s="13"/>
      <c r="F228" s="14" t="str">
        <f aca="false">IF(E228="","",$B$7*E228^2)</f>
        <v/>
      </c>
    </row>
    <row r="229" customFormat="false" ht="15" hidden="false" customHeight="false" outlineLevel="0" collapsed="false">
      <c r="D229" s="12" t="n">
        <v>226</v>
      </c>
      <c r="E229" s="13"/>
      <c r="F229" s="14" t="str">
        <f aca="false">IF(E229="","",$B$7*E229^2)</f>
        <v/>
      </c>
    </row>
    <row r="230" customFormat="false" ht="15" hidden="false" customHeight="false" outlineLevel="0" collapsed="false">
      <c r="D230" s="12" t="n">
        <v>227</v>
      </c>
      <c r="E230" s="13"/>
      <c r="F230" s="14" t="str">
        <f aca="false">IF(E230="","",$B$7*E230^2)</f>
        <v/>
      </c>
    </row>
    <row r="231" customFormat="false" ht="15" hidden="false" customHeight="false" outlineLevel="0" collapsed="false">
      <c r="D231" s="12" t="n">
        <v>228</v>
      </c>
      <c r="E231" s="13"/>
      <c r="F231" s="14" t="str">
        <f aca="false">IF(E231="","",$B$7*E231^2)</f>
        <v/>
      </c>
    </row>
    <row r="232" customFormat="false" ht="15" hidden="false" customHeight="false" outlineLevel="0" collapsed="false">
      <c r="D232" s="12" t="n">
        <v>229</v>
      </c>
      <c r="E232" s="13"/>
      <c r="F232" s="14" t="str">
        <f aca="false">IF(E232="","",$B$7*E232^2)</f>
        <v/>
      </c>
    </row>
    <row r="233" customFormat="false" ht="15" hidden="false" customHeight="false" outlineLevel="0" collapsed="false">
      <c r="D233" s="12" t="n">
        <v>230</v>
      </c>
      <c r="E233" s="13"/>
      <c r="F233" s="14" t="str">
        <f aca="false">IF(E233="","",$B$7*E233^2)</f>
        <v/>
      </c>
    </row>
    <row r="234" customFormat="false" ht="15" hidden="false" customHeight="false" outlineLevel="0" collapsed="false">
      <c r="D234" s="12" t="n">
        <v>231</v>
      </c>
      <c r="E234" s="13"/>
      <c r="F234" s="14" t="str">
        <f aca="false">IF(E234="","",$B$7*E234^2)</f>
        <v/>
      </c>
    </row>
    <row r="235" customFormat="false" ht="15" hidden="false" customHeight="false" outlineLevel="0" collapsed="false">
      <c r="D235" s="12" t="n">
        <v>232</v>
      </c>
      <c r="E235" s="13"/>
      <c r="F235" s="14" t="str">
        <f aca="false">IF(E235="","",$B$7*E235^2)</f>
        <v/>
      </c>
    </row>
    <row r="236" customFormat="false" ht="15" hidden="false" customHeight="false" outlineLevel="0" collapsed="false">
      <c r="D236" s="12" t="n">
        <v>233</v>
      </c>
      <c r="E236" s="13"/>
      <c r="F236" s="14" t="str">
        <f aca="false">IF(E236="","",$B$7*E236^2)</f>
        <v/>
      </c>
    </row>
    <row r="237" customFormat="false" ht="15" hidden="false" customHeight="false" outlineLevel="0" collapsed="false">
      <c r="D237" s="12" t="n">
        <v>234</v>
      </c>
      <c r="E237" s="13"/>
      <c r="F237" s="14" t="str">
        <f aca="false">IF(E237="","",$B$7*E237^2)</f>
        <v/>
      </c>
    </row>
    <row r="238" customFormat="false" ht="15" hidden="false" customHeight="false" outlineLevel="0" collapsed="false">
      <c r="D238" s="12" t="n">
        <v>235</v>
      </c>
      <c r="E238" s="13"/>
      <c r="F238" s="14" t="str">
        <f aca="false">IF(E238="","",$B$7*E238^2)</f>
        <v/>
      </c>
    </row>
    <row r="239" customFormat="false" ht="15" hidden="false" customHeight="false" outlineLevel="0" collapsed="false">
      <c r="D239" s="12" t="n">
        <v>236</v>
      </c>
      <c r="E239" s="13"/>
      <c r="F239" s="14" t="str">
        <f aca="false">IF(E239="","",$B$7*E239^2)</f>
        <v/>
      </c>
    </row>
    <row r="240" customFormat="false" ht="15" hidden="false" customHeight="false" outlineLevel="0" collapsed="false">
      <c r="D240" s="12" t="n">
        <v>237</v>
      </c>
      <c r="E240" s="13"/>
      <c r="F240" s="14" t="str">
        <f aca="false">IF(E240="","",$B$7*E240^2)</f>
        <v/>
      </c>
    </row>
    <row r="241" customFormat="false" ht="15" hidden="false" customHeight="false" outlineLevel="0" collapsed="false">
      <c r="D241" s="12" t="n">
        <v>238</v>
      </c>
      <c r="E241" s="13"/>
      <c r="F241" s="14" t="str">
        <f aca="false">IF(E241="","",$B$7*E241^2)</f>
        <v/>
      </c>
    </row>
    <row r="242" customFormat="false" ht="15" hidden="false" customHeight="false" outlineLevel="0" collapsed="false">
      <c r="D242" s="12" t="n">
        <v>239</v>
      </c>
      <c r="E242" s="13"/>
      <c r="F242" s="14" t="str">
        <f aca="false">IF(E242="","",$B$7*E242^2)</f>
        <v/>
      </c>
    </row>
    <row r="243" customFormat="false" ht="15" hidden="false" customHeight="false" outlineLevel="0" collapsed="false">
      <c r="D243" s="12" t="n">
        <v>240</v>
      </c>
      <c r="E243" s="13"/>
      <c r="F243" s="14" t="str">
        <f aca="false">IF(E243="","",$B$7*E243^2)</f>
        <v/>
      </c>
    </row>
    <row r="244" customFormat="false" ht="15" hidden="false" customHeight="false" outlineLevel="0" collapsed="false">
      <c r="D244" s="12" t="n">
        <v>241</v>
      </c>
      <c r="E244" s="13"/>
      <c r="F244" s="14" t="str">
        <f aca="false">IF(E244="","",$B$7*E244^2)</f>
        <v/>
      </c>
    </row>
    <row r="245" customFormat="false" ht="15" hidden="false" customHeight="false" outlineLevel="0" collapsed="false">
      <c r="D245" s="12" t="n">
        <v>242</v>
      </c>
      <c r="E245" s="13"/>
      <c r="F245" s="14" t="str">
        <f aca="false">IF(E245="","",$B$7*E245^2)</f>
        <v/>
      </c>
    </row>
    <row r="246" customFormat="false" ht="15" hidden="false" customHeight="false" outlineLevel="0" collapsed="false">
      <c r="D246" s="12" t="n">
        <v>243</v>
      </c>
      <c r="E246" s="13"/>
      <c r="F246" s="14" t="str">
        <f aca="false">IF(E246="","",$B$7*E246^2)</f>
        <v/>
      </c>
    </row>
    <row r="247" customFormat="false" ht="15" hidden="false" customHeight="false" outlineLevel="0" collapsed="false">
      <c r="D247" s="12" t="n">
        <v>244</v>
      </c>
      <c r="E247" s="13"/>
      <c r="F247" s="14" t="str">
        <f aca="false">IF(E247="","",$B$7*E247^2)</f>
        <v/>
      </c>
    </row>
    <row r="248" customFormat="false" ht="15" hidden="false" customHeight="false" outlineLevel="0" collapsed="false">
      <c r="D248" s="12" t="n">
        <v>245</v>
      </c>
      <c r="E248" s="13"/>
      <c r="F248" s="14" t="str">
        <f aca="false">IF(E248="","",$B$7*E248^2)</f>
        <v/>
      </c>
    </row>
    <row r="249" customFormat="false" ht="15" hidden="false" customHeight="false" outlineLevel="0" collapsed="false">
      <c r="D249" s="12" t="n">
        <v>246</v>
      </c>
      <c r="E249" s="13"/>
      <c r="F249" s="14" t="str">
        <f aca="false">IF(E249="","",$B$7*E249^2)</f>
        <v/>
      </c>
    </row>
    <row r="250" customFormat="false" ht="15" hidden="false" customHeight="false" outlineLevel="0" collapsed="false">
      <c r="D250" s="12" t="n">
        <v>247</v>
      </c>
      <c r="E250" s="13"/>
      <c r="F250" s="14" t="str">
        <f aca="false">IF(E250="","",$B$7*E250^2)</f>
        <v/>
      </c>
    </row>
    <row r="251" customFormat="false" ht="15" hidden="false" customHeight="false" outlineLevel="0" collapsed="false">
      <c r="D251" s="12" t="n">
        <v>248</v>
      </c>
      <c r="E251" s="13"/>
      <c r="F251" s="14" t="str">
        <f aca="false">IF(E251="","",$B$7*E251^2)</f>
        <v/>
      </c>
    </row>
    <row r="252" customFormat="false" ht="15" hidden="false" customHeight="false" outlineLevel="0" collapsed="false">
      <c r="D252" s="12" t="n">
        <v>249</v>
      </c>
      <c r="E252" s="13"/>
      <c r="F252" s="14" t="str">
        <f aca="false">IF(E252="","",$B$7*E252^2)</f>
        <v/>
      </c>
    </row>
    <row r="253" customFormat="false" ht="15" hidden="false" customHeight="false" outlineLevel="0" collapsed="false">
      <c r="D253" s="12" t="n">
        <v>250</v>
      </c>
      <c r="E253" s="13"/>
      <c r="F253" s="14" t="str">
        <f aca="false">IF(E253="","",$B$7*E253^2)</f>
        <v/>
      </c>
    </row>
    <row r="254" customFormat="false" ht="15" hidden="false" customHeight="false" outlineLevel="0" collapsed="false">
      <c r="D254" s="12" t="n">
        <v>251</v>
      </c>
      <c r="E254" s="13"/>
      <c r="F254" s="14" t="str">
        <f aca="false">IF(E254="","",$B$7*E254^2)</f>
        <v/>
      </c>
    </row>
    <row r="255" customFormat="false" ht="15" hidden="false" customHeight="false" outlineLevel="0" collapsed="false">
      <c r="D255" s="12" t="n">
        <v>252</v>
      </c>
      <c r="E255" s="13"/>
      <c r="F255" s="14" t="str">
        <f aca="false">IF(E255="","",$B$7*E255^2)</f>
        <v/>
      </c>
    </row>
    <row r="256" customFormat="false" ht="15" hidden="false" customHeight="false" outlineLevel="0" collapsed="false">
      <c r="D256" s="12" t="n">
        <v>253</v>
      </c>
      <c r="E256" s="13"/>
      <c r="F256" s="14" t="str">
        <f aca="false">IF(E256="","",$B$7*E256^2)</f>
        <v/>
      </c>
    </row>
    <row r="257" customFormat="false" ht="15" hidden="false" customHeight="false" outlineLevel="0" collapsed="false">
      <c r="D257" s="12" t="n">
        <v>254</v>
      </c>
      <c r="E257" s="13"/>
      <c r="F257" s="14" t="str">
        <f aca="false">IF(E257="","",$B$7*E257^2)</f>
        <v/>
      </c>
    </row>
    <row r="258" customFormat="false" ht="15" hidden="false" customHeight="false" outlineLevel="0" collapsed="false">
      <c r="D258" s="12" t="n">
        <v>255</v>
      </c>
      <c r="E258" s="13"/>
      <c r="F258" s="14" t="str">
        <f aca="false">IF(E258="","",$B$7*E258^2)</f>
        <v/>
      </c>
    </row>
    <row r="259" customFormat="false" ht="15" hidden="false" customHeight="false" outlineLevel="0" collapsed="false">
      <c r="D259" s="12" t="n">
        <v>256</v>
      </c>
      <c r="E259" s="13"/>
      <c r="F259" s="14" t="str">
        <f aca="false">IF(E259="","",$B$7*E259^2)</f>
        <v/>
      </c>
    </row>
    <row r="260" customFormat="false" ht="15" hidden="false" customHeight="false" outlineLevel="0" collapsed="false">
      <c r="D260" s="12" t="n">
        <v>257</v>
      </c>
      <c r="E260" s="13"/>
      <c r="F260" s="14" t="str">
        <f aca="false">IF(E260="","",$B$7*E260^2)</f>
        <v/>
      </c>
    </row>
    <row r="261" customFormat="false" ht="15" hidden="false" customHeight="false" outlineLevel="0" collapsed="false">
      <c r="D261" s="12" t="n">
        <v>258</v>
      </c>
      <c r="E261" s="13"/>
      <c r="F261" s="14" t="str">
        <f aca="false">IF(E261="","",$B$7*E261^2)</f>
        <v/>
      </c>
    </row>
    <row r="262" customFormat="false" ht="15" hidden="false" customHeight="false" outlineLevel="0" collapsed="false">
      <c r="D262" s="12" t="n">
        <v>259</v>
      </c>
      <c r="E262" s="13"/>
      <c r="F262" s="14" t="str">
        <f aca="false">IF(E262="","",$B$7*E262^2)</f>
        <v/>
      </c>
    </row>
    <row r="263" customFormat="false" ht="15" hidden="false" customHeight="false" outlineLevel="0" collapsed="false">
      <c r="D263" s="12" t="n">
        <v>260</v>
      </c>
      <c r="E263" s="13"/>
      <c r="F263" s="14" t="str">
        <f aca="false">IF(E263="","",$B$7*E263^2)</f>
        <v/>
      </c>
    </row>
    <row r="264" customFormat="false" ht="15" hidden="false" customHeight="false" outlineLevel="0" collapsed="false">
      <c r="D264" s="12" t="n">
        <v>261</v>
      </c>
      <c r="E264" s="13"/>
      <c r="F264" s="14" t="str">
        <f aca="false">IF(E264="","",$B$7*E264^2)</f>
        <v/>
      </c>
    </row>
    <row r="265" customFormat="false" ht="15" hidden="false" customHeight="false" outlineLevel="0" collapsed="false">
      <c r="D265" s="12" t="n">
        <v>262</v>
      </c>
      <c r="E265" s="13"/>
      <c r="F265" s="14" t="str">
        <f aca="false">IF(E265="","",$B$7*E265^2)</f>
        <v/>
      </c>
    </row>
    <row r="266" customFormat="false" ht="15" hidden="false" customHeight="false" outlineLevel="0" collapsed="false">
      <c r="D266" s="12" t="n">
        <v>263</v>
      </c>
      <c r="E266" s="13"/>
      <c r="F266" s="14" t="str">
        <f aca="false">IF(E266="","",$B$7*E266^2)</f>
        <v/>
      </c>
    </row>
    <row r="267" customFormat="false" ht="15" hidden="false" customHeight="false" outlineLevel="0" collapsed="false">
      <c r="D267" s="12" t="n">
        <v>264</v>
      </c>
      <c r="E267" s="13"/>
      <c r="F267" s="14" t="str">
        <f aca="false">IF(E267="","",$B$7*E267^2)</f>
        <v/>
      </c>
    </row>
    <row r="268" customFormat="false" ht="15" hidden="false" customHeight="false" outlineLevel="0" collapsed="false">
      <c r="D268" s="12" t="n">
        <v>265</v>
      </c>
      <c r="E268" s="13"/>
      <c r="F268" s="14" t="str">
        <f aca="false">IF(E268="","",$B$7*E268^2)</f>
        <v/>
      </c>
    </row>
    <row r="269" customFormat="false" ht="15" hidden="false" customHeight="false" outlineLevel="0" collapsed="false">
      <c r="D269" s="12" t="n">
        <v>266</v>
      </c>
      <c r="E269" s="13"/>
      <c r="F269" s="14" t="str">
        <f aca="false">IF(E269="","",$B$7*E269^2)</f>
        <v/>
      </c>
    </row>
    <row r="270" customFormat="false" ht="15" hidden="false" customHeight="false" outlineLevel="0" collapsed="false">
      <c r="D270" s="12" t="n">
        <v>267</v>
      </c>
      <c r="E270" s="13"/>
      <c r="F270" s="14" t="str">
        <f aca="false">IF(E270="","",$B$7*E270^2)</f>
        <v/>
      </c>
    </row>
    <row r="271" customFormat="false" ht="15" hidden="false" customHeight="false" outlineLevel="0" collapsed="false">
      <c r="D271" s="12" t="n">
        <v>268</v>
      </c>
      <c r="E271" s="13"/>
      <c r="F271" s="14" t="str">
        <f aca="false">IF(E271="","",$B$7*E271^2)</f>
        <v/>
      </c>
    </row>
    <row r="272" customFormat="false" ht="15" hidden="false" customHeight="false" outlineLevel="0" collapsed="false">
      <c r="D272" s="12" t="n">
        <v>269</v>
      </c>
      <c r="E272" s="13"/>
      <c r="F272" s="14" t="str">
        <f aca="false">IF(E272="","",$B$7*E272^2)</f>
        <v/>
      </c>
    </row>
    <row r="273" customFormat="false" ht="15" hidden="false" customHeight="false" outlineLevel="0" collapsed="false">
      <c r="D273" s="12" t="n">
        <v>270</v>
      </c>
      <c r="E273" s="13"/>
      <c r="F273" s="14" t="str">
        <f aca="false">IF(E273="","",$B$7*E273^2)</f>
        <v/>
      </c>
    </row>
    <row r="274" customFormat="false" ht="15" hidden="false" customHeight="false" outlineLevel="0" collapsed="false">
      <c r="D274" s="12" t="n">
        <v>271</v>
      </c>
      <c r="E274" s="13"/>
      <c r="F274" s="14" t="str">
        <f aca="false">IF(E274="","",$B$7*E274^2)</f>
        <v/>
      </c>
    </row>
    <row r="275" customFormat="false" ht="15" hidden="false" customHeight="false" outlineLevel="0" collapsed="false">
      <c r="D275" s="12" t="n">
        <v>272</v>
      </c>
      <c r="E275" s="13"/>
      <c r="F275" s="14" t="str">
        <f aca="false">IF(E275="","",$B$7*E275^2)</f>
        <v/>
      </c>
    </row>
    <row r="276" customFormat="false" ht="15" hidden="false" customHeight="false" outlineLevel="0" collapsed="false">
      <c r="D276" s="12" t="n">
        <v>273</v>
      </c>
      <c r="E276" s="13"/>
      <c r="F276" s="14" t="str">
        <f aca="false">IF(E276="","",$B$7*E276^2)</f>
        <v/>
      </c>
    </row>
    <row r="277" customFormat="false" ht="15" hidden="false" customHeight="false" outlineLevel="0" collapsed="false">
      <c r="D277" s="12" t="n">
        <v>274</v>
      </c>
      <c r="E277" s="13"/>
      <c r="F277" s="14" t="str">
        <f aca="false">IF(E277="","",$B$7*E277^2)</f>
        <v/>
      </c>
    </row>
    <row r="278" customFormat="false" ht="15" hidden="false" customHeight="false" outlineLevel="0" collapsed="false">
      <c r="D278" s="12" t="n">
        <v>275</v>
      </c>
      <c r="E278" s="13"/>
      <c r="F278" s="14" t="str">
        <f aca="false">IF(E278="","",$B$7*E278^2)</f>
        <v/>
      </c>
    </row>
    <row r="279" customFormat="false" ht="15" hidden="false" customHeight="false" outlineLevel="0" collapsed="false">
      <c r="D279" s="12" t="n">
        <v>276</v>
      </c>
      <c r="E279" s="13"/>
      <c r="F279" s="14" t="str">
        <f aca="false">IF(E279="","",$B$7*E279^2)</f>
        <v/>
      </c>
    </row>
    <row r="280" customFormat="false" ht="15" hidden="false" customHeight="false" outlineLevel="0" collapsed="false">
      <c r="D280" s="12" t="n">
        <v>277</v>
      </c>
      <c r="E280" s="13"/>
      <c r="F280" s="14" t="str">
        <f aca="false">IF(E280="","",$B$7*E280^2)</f>
        <v/>
      </c>
    </row>
    <row r="281" customFormat="false" ht="15" hidden="false" customHeight="false" outlineLevel="0" collapsed="false">
      <c r="D281" s="12" t="n">
        <v>278</v>
      </c>
      <c r="E281" s="13"/>
      <c r="F281" s="14" t="str">
        <f aca="false">IF(E281="","",$B$7*E281^2)</f>
        <v/>
      </c>
    </row>
    <row r="282" customFormat="false" ht="15" hidden="false" customHeight="false" outlineLevel="0" collapsed="false">
      <c r="D282" s="12" t="n">
        <v>279</v>
      </c>
      <c r="E282" s="13"/>
      <c r="F282" s="14" t="str">
        <f aca="false">IF(E282="","",$B$7*E282^2)</f>
        <v/>
      </c>
    </row>
    <row r="283" customFormat="false" ht="15" hidden="false" customHeight="false" outlineLevel="0" collapsed="false">
      <c r="D283" s="12" t="n">
        <v>280</v>
      </c>
      <c r="E283" s="13"/>
      <c r="F283" s="14" t="str">
        <f aca="false">IF(E283="","",$B$7*E283^2)</f>
        <v/>
      </c>
    </row>
    <row r="284" customFormat="false" ht="15" hidden="false" customHeight="false" outlineLevel="0" collapsed="false">
      <c r="D284" s="12" t="n">
        <v>281</v>
      </c>
      <c r="E284" s="13"/>
      <c r="F284" s="14" t="str">
        <f aca="false">IF(E284="","",$B$7*E284^2)</f>
        <v/>
      </c>
    </row>
    <row r="285" customFormat="false" ht="15" hidden="false" customHeight="false" outlineLevel="0" collapsed="false">
      <c r="D285" s="12" t="n">
        <v>282</v>
      </c>
      <c r="E285" s="13"/>
      <c r="F285" s="14" t="str">
        <f aca="false">IF(E285="","",$B$7*E285^2)</f>
        <v/>
      </c>
    </row>
    <row r="286" customFormat="false" ht="15" hidden="false" customHeight="false" outlineLevel="0" collapsed="false">
      <c r="D286" s="12" t="n">
        <v>283</v>
      </c>
      <c r="E286" s="13"/>
      <c r="F286" s="14" t="str">
        <f aca="false">IF(E286="","",$B$7*E286^2)</f>
        <v/>
      </c>
    </row>
    <row r="287" customFormat="false" ht="15" hidden="false" customHeight="false" outlineLevel="0" collapsed="false">
      <c r="D287" s="12" t="n">
        <v>284</v>
      </c>
      <c r="E287" s="13"/>
      <c r="F287" s="14" t="str">
        <f aca="false">IF(E287="","",$B$7*E287^2)</f>
        <v/>
      </c>
    </row>
    <row r="288" customFormat="false" ht="15" hidden="false" customHeight="false" outlineLevel="0" collapsed="false">
      <c r="D288" s="12" t="n">
        <v>285</v>
      </c>
      <c r="E288" s="13"/>
      <c r="F288" s="14" t="str">
        <f aca="false">IF(E288="","",$B$7*E288^2)</f>
        <v/>
      </c>
    </row>
    <row r="289" customFormat="false" ht="15" hidden="false" customHeight="false" outlineLevel="0" collapsed="false">
      <c r="D289" s="12" t="n">
        <v>286</v>
      </c>
      <c r="E289" s="13"/>
      <c r="F289" s="14" t="str">
        <f aca="false">IF(E289="","",$B$7*E289^2)</f>
        <v/>
      </c>
    </row>
    <row r="290" customFormat="false" ht="15" hidden="false" customHeight="false" outlineLevel="0" collapsed="false">
      <c r="D290" s="12" t="n">
        <v>287</v>
      </c>
      <c r="E290" s="13"/>
      <c r="F290" s="14" t="str">
        <f aca="false">IF(E290="","",$B$7*E290^2)</f>
        <v/>
      </c>
    </row>
    <row r="291" customFormat="false" ht="15" hidden="false" customHeight="false" outlineLevel="0" collapsed="false">
      <c r="D291" s="12" t="n">
        <v>288</v>
      </c>
      <c r="E291" s="13"/>
      <c r="F291" s="14" t="str">
        <f aca="false">IF(E291="","",$B$7*E291^2)</f>
        <v/>
      </c>
    </row>
    <row r="292" customFormat="false" ht="15" hidden="false" customHeight="false" outlineLevel="0" collapsed="false">
      <c r="D292" s="12" t="n">
        <v>289</v>
      </c>
      <c r="E292" s="13"/>
      <c r="F292" s="14" t="str">
        <f aca="false">IF(E292="","",$B$7*E292^2)</f>
        <v/>
      </c>
    </row>
    <row r="293" customFormat="false" ht="15" hidden="false" customHeight="false" outlineLevel="0" collapsed="false">
      <c r="D293" s="12" t="n">
        <v>290</v>
      </c>
      <c r="E293" s="13"/>
      <c r="F293" s="14" t="str">
        <f aca="false">IF(E293="","",$B$7*E293^2)</f>
        <v/>
      </c>
    </row>
    <row r="294" customFormat="false" ht="15" hidden="false" customHeight="false" outlineLevel="0" collapsed="false">
      <c r="D294" s="12" t="n">
        <v>291</v>
      </c>
      <c r="E294" s="13"/>
      <c r="F294" s="14" t="str">
        <f aca="false">IF(E294="","",$B$7*E294^2)</f>
        <v/>
      </c>
    </row>
    <row r="295" customFormat="false" ht="15" hidden="false" customHeight="false" outlineLevel="0" collapsed="false">
      <c r="D295" s="12" t="n">
        <v>292</v>
      </c>
      <c r="E295" s="13"/>
      <c r="F295" s="14" t="str">
        <f aca="false">IF(E295="","",$B$7*E295^2)</f>
        <v/>
      </c>
    </row>
    <row r="296" customFormat="false" ht="15" hidden="false" customHeight="false" outlineLevel="0" collapsed="false">
      <c r="D296" s="12" t="n">
        <v>293</v>
      </c>
      <c r="E296" s="13"/>
      <c r="F296" s="14" t="str">
        <f aca="false">IF(E296="","",$B$7*E296^2)</f>
        <v/>
      </c>
    </row>
    <row r="297" customFormat="false" ht="15" hidden="false" customHeight="false" outlineLevel="0" collapsed="false">
      <c r="D297" s="12" t="n">
        <v>294</v>
      </c>
      <c r="E297" s="13"/>
      <c r="F297" s="14" t="str">
        <f aca="false">IF(E297="","",$B$7*E297^2)</f>
        <v/>
      </c>
    </row>
    <row r="298" customFormat="false" ht="15" hidden="false" customHeight="false" outlineLevel="0" collapsed="false">
      <c r="D298" s="12" t="n">
        <v>295</v>
      </c>
      <c r="E298" s="13"/>
      <c r="F298" s="14" t="str">
        <f aca="false">IF(E298="","",$B$7*E298^2)</f>
        <v/>
      </c>
    </row>
    <row r="299" customFormat="false" ht="15" hidden="false" customHeight="false" outlineLevel="0" collapsed="false">
      <c r="D299" s="12" t="n">
        <v>296</v>
      </c>
      <c r="E299" s="13"/>
      <c r="F299" s="14" t="str">
        <f aca="false">IF(E299="","",$B$7*E299^2)</f>
        <v/>
      </c>
    </row>
    <row r="300" customFormat="false" ht="15" hidden="false" customHeight="false" outlineLevel="0" collapsed="false">
      <c r="D300" s="12" t="n">
        <v>297</v>
      </c>
      <c r="E300" s="13"/>
      <c r="F300" s="14" t="str">
        <f aca="false">IF(E300="","",$B$7*E300^2)</f>
        <v/>
      </c>
    </row>
    <row r="301" customFormat="false" ht="15" hidden="false" customHeight="false" outlineLevel="0" collapsed="false">
      <c r="D301" s="12" t="n">
        <v>298</v>
      </c>
      <c r="E301" s="13"/>
      <c r="F301" s="14" t="str">
        <f aca="false">IF(E301="","",$B$7*E301^2)</f>
        <v/>
      </c>
    </row>
    <row r="302" customFormat="false" ht="15" hidden="false" customHeight="false" outlineLevel="0" collapsed="false">
      <c r="D302" s="12" t="n">
        <v>299</v>
      </c>
      <c r="E302" s="13"/>
      <c r="F302" s="14" t="str">
        <f aca="false">IF(E302="","",$B$7*E302^2)</f>
        <v/>
      </c>
    </row>
    <row r="303" customFormat="false" ht="15" hidden="false" customHeight="false" outlineLevel="0" collapsed="false">
      <c r="D303" s="12" t="n">
        <v>300</v>
      </c>
      <c r="E303" s="13"/>
      <c r="F303" s="14" t="str">
        <f aca="false">IF(E303="","",$B$7*E303^2)</f>
        <v/>
      </c>
    </row>
    <row r="304" customFormat="false" ht="15" hidden="false" customHeight="false" outlineLevel="0" collapsed="false">
      <c r="D304" s="12" t="n">
        <v>301</v>
      </c>
      <c r="E304" s="13"/>
      <c r="F304" s="14" t="str">
        <f aca="false">IF(E304="","",$B$7*E304^2)</f>
        <v/>
      </c>
    </row>
    <row r="305" customFormat="false" ht="15" hidden="false" customHeight="false" outlineLevel="0" collapsed="false">
      <c r="D305" s="12" t="n">
        <v>302</v>
      </c>
      <c r="E305" s="13"/>
      <c r="F305" s="14" t="str">
        <f aca="false">IF(E305="","",$B$7*E305^2)</f>
        <v/>
      </c>
    </row>
    <row r="306" customFormat="false" ht="15" hidden="false" customHeight="false" outlineLevel="0" collapsed="false">
      <c r="D306" s="12" t="n">
        <v>303</v>
      </c>
      <c r="E306" s="13"/>
      <c r="F306" s="14" t="str">
        <f aca="false">IF(E306="","",$B$7*E306^2)</f>
        <v/>
      </c>
    </row>
    <row r="307" customFormat="false" ht="15" hidden="false" customHeight="false" outlineLevel="0" collapsed="false">
      <c r="D307" s="12" t="n">
        <v>304</v>
      </c>
      <c r="E307" s="13"/>
      <c r="F307" s="14" t="str">
        <f aca="false">IF(E307="","",$B$7*E307^2)</f>
        <v/>
      </c>
    </row>
    <row r="308" customFormat="false" ht="15" hidden="false" customHeight="false" outlineLevel="0" collapsed="false">
      <c r="D308" s="12" t="n">
        <v>305</v>
      </c>
      <c r="E308" s="13"/>
      <c r="F308" s="14" t="str">
        <f aca="false">IF(E308="","",$B$7*E308^2)</f>
        <v/>
      </c>
    </row>
    <row r="309" customFormat="false" ht="15" hidden="false" customHeight="false" outlineLevel="0" collapsed="false">
      <c r="D309" s="12" t="n">
        <v>306</v>
      </c>
      <c r="E309" s="13"/>
      <c r="F309" s="14" t="str">
        <f aca="false">IF(E309="","",$B$7*E309^2)</f>
        <v/>
      </c>
    </row>
    <row r="310" customFormat="false" ht="15" hidden="false" customHeight="false" outlineLevel="0" collapsed="false">
      <c r="D310" s="12" t="n">
        <v>307</v>
      </c>
      <c r="E310" s="13"/>
      <c r="F310" s="14" t="str">
        <f aca="false">IF(E310="","",$B$7*E310^2)</f>
        <v/>
      </c>
    </row>
    <row r="311" customFormat="false" ht="15" hidden="false" customHeight="false" outlineLevel="0" collapsed="false">
      <c r="D311" s="12" t="n">
        <v>308</v>
      </c>
      <c r="E311" s="13"/>
      <c r="F311" s="14" t="str">
        <f aca="false">IF(E311="","",$B$7*E311^2)</f>
        <v/>
      </c>
    </row>
    <row r="312" customFormat="false" ht="15" hidden="false" customHeight="false" outlineLevel="0" collapsed="false">
      <c r="D312" s="12" t="n">
        <v>309</v>
      </c>
      <c r="E312" s="13"/>
      <c r="F312" s="14" t="str">
        <f aca="false">IF(E312="","",$B$7*E312^2)</f>
        <v/>
      </c>
    </row>
    <row r="313" customFormat="false" ht="15" hidden="false" customHeight="false" outlineLevel="0" collapsed="false">
      <c r="D313" s="12" t="n">
        <v>310</v>
      </c>
      <c r="E313" s="13"/>
      <c r="F313" s="14" t="str">
        <f aca="false">IF(E313="","",$B$7*E313^2)</f>
        <v/>
      </c>
    </row>
    <row r="314" customFormat="false" ht="15" hidden="false" customHeight="false" outlineLevel="0" collapsed="false">
      <c r="D314" s="12" t="n">
        <v>311</v>
      </c>
      <c r="E314" s="13"/>
      <c r="F314" s="14" t="str">
        <f aca="false">IF(E314="","",$B$7*E314^2)</f>
        <v/>
      </c>
    </row>
    <row r="315" customFormat="false" ht="15" hidden="false" customHeight="false" outlineLevel="0" collapsed="false">
      <c r="D315" s="12" t="n">
        <v>312</v>
      </c>
      <c r="E315" s="13"/>
      <c r="F315" s="14" t="str">
        <f aca="false">IF(E315="","",$B$7*E315^2)</f>
        <v/>
      </c>
    </row>
    <row r="316" customFormat="false" ht="15" hidden="false" customHeight="false" outlineLevel="0" collapsed="false">
      <c r="D316" s="12" t="n">
        <v>313</v>
      </c>
      <c r="E316" s="13"/>
      <c r="F316" s="14" t="str">
        <f aca="false">IF(E316="","",$B$7*E316^2)</f>
        <v/>
      </c>
    </row>
    <row r="317" customFormat="false" ht="15" hidden="false" customHeight="false" outlineLevel="0" collapsed="false">
      <c r="D317" s="12" t="n">
        <v>314</v>
      </c>
      <c r="E317" s="13"/>
      <c r="F317" s="14" t="str">
        <f aca="false">IF(E317="","",$B$7*E317^2)</f>
        <v/>
      </c>
    </row>
    <row r="318" customFormat="false" ht="15" hidden="false" customHeight="false" outlineLevel="0" collapsed="false">
      <c r="D318" s="12" t="n">
        <v>315</v>
      </c>
      <c r="E318" s="13"/>
      <c r="F318" s="14" t="str">
        <f aca="false">IF(E318="","",$B$7*E318^2)</f>
        <v/>
      </c>
    </row>
    <row r="319" customFormat="false" ht="15" hidden="false" customHeight="false" outlineLevel="0" collapsed="false">
      <c r="D319" s="12" t="n">
        <v>316</v>
      </c>
      <c r="E319" s="13"/>
      <c r="F319" s="14" t="str">
        <f aca="false">IF(E319="","",$B$7*E319^2)</f>
        <v/>
      </c>
    </row>
    <row r="320" customFormat="false" ht="15" hidden="false" customHeight="false" outlineLevel="0" collapsed="false">
      <c r="D320" s="12" t="n">
        <v>317</v>
      </c>
      <c r="E320" s="13"/>
      <c r="F320" s="14" t="str">
        <f aca="false">IF(E320="","",$B$7*E320^2)</f>
        <v/>
      </c>
    </row>
    <row r="321" customFormat="false" ht="15" hidden="false" customHeight="false" outlineLevel="0" collapsed="false">
      <c r="D321" s="12" t="n">
        <v>318</v>
      </c>
      <c r="E321" s="13"/>
      <c r="F321" s="14" t="str">
        <f aca="false">IF(E321="","",$B$7*E321^2)</f>
        <v/>
      </c>
    </row>
    <row r="322" customFormat="false" ht="15" hidden="false" customHeight="false" outlineLevel="0" collapsed="false">
      <c r="D322" s="12" t="n">
        <v>319</v>
      </c>
      <c r="E322" s="13"/>
      <c r="F322" s="14" t="str">
        <f aca="false">IF(E322="","",$B$7*E322^2)</f>
        <v/>
      </c>
    </row>
    <row r="323" customFormat="false" ht="15" hidden="false" customHeight="false" outlineLevel="0" collapsed="false">
      <c r="D323" s="12" t="n">
        <v>320</v>
      </c>
      <c r="E323" s="13"/>
      <c r="F323" s="14" t="str">
        <f aca="false">IF(E323="","",$B$7*E323^2)</f>
        <v/>
      </c>
    </row>
    <row r="324" customFormat="false" ht="15" hidden="false" customHeight="false" outlineLevel="0" collapsed="false">
      <c r="D324" s="12" t="n">
        <v>321</v>
      </c>
      <c r="E324" s="13"/>
      <c r="F324" s="14" t="str">
        <f aca="false">IF(E324="","",$B$7*E324^2)</f>
        <v/>
      </c>
    </row>
    <row r="325" customFormat="false" ht="15" hidden="false" customHeight="false" outlineLevel="0" collapsed="false">
      <c r="D325" s="12" t="n">
        <v>322</v>
      </c>
      <c r="E325" s="13"/>
      <c r="F325" s="14" t="str">
        <f aca="false">IF(E325="","",$B$7*E325^2)</f>
        <v/>
      </c>
    </row>
    <row r="326" customFormat="false" ht="15" hidden="false" customHeight="false" outlineLevel="0" collapsed="false">
      <c r="D326" s="12" t="n">
        <v>323</v>
      </c>
      <c r="E326" s="13"/>
      <c r="F326" s="14" t="str">
        <f aca="false">IF(E326="","",$B$7*E326^2)</f>
        <v/>
      </c>
    </row>
    <row r="327" customFormat="false" ht="15" hidden="false" customHeight="false" outlineLevel="0" collapsed="false">
      <c r="D327" s="12" t="n">
        <v>324</v>
      </c>
      <c r="E327" s="13"/>
      <c r="F327" s="14" t="str">
        <f aca="false">IF(E327="","",$B$7*E327^2)</f>
        <v/>
      </c>
    </row>
    <row r="328" customFormat="false" ht="15" hidden="false" customHeight="false" outlineLevel="0" collapsed="false">
      <c r="D328" s="12" t="n">
        <v>325</v>
      </c>
      <c r="E328" s="13"/>
      <c r="F328" s="14" t="str">
        <f aca="false">IF(E328="","",$B$7*E328^2)</f>
        <v/>
      </c>
    </row>
    <row r="329" customFormat="false" ht="15" hidden="false" customHeight="false" outlineLevel="0" collapsed="false">
      <c r="D329" s="12" t="n">
        <v>326</v>
      </c>
      <c r="E329" s="13"/>
      <c r="F329" s="14" t="str">
        <f aca="false">IF(E329="","",$B$7*E329^2)</f>
        <v/>
      </c>
    </row>
    <row r="330" customFormat="false" ht="15" hidden="false" customHeight="false" outlineLevel="0" collapsed="false">
      <c r="D330" s="12" t="n">
        <v>327</v>
      </c>
      <c r="E330" s="13"/>
      <c r="F330" s="14" t="str">
        <f aca="false">IF(E330="","",$B$7*E330^2)</f>
        <v/>
      </c>
    </row>
    <row r="331" customFormat="false" ht="15" hidden="false" customHeight="false" outlineLevel="0" collapsed="false">
      <c r="D331" s="12" t="n">
        <v>328</v>
      </c>
      <c r="E331" s="13"/>
      <c r="F331" s="14" t="str">
        <f aca="false">IF(E331="","",$B$7*E331^2)</f>
        <v/>
      </c>
    </row>
    <row r="332" customFormat="false" ht="15" hidden="false" customHeight="false" outlineLevel="0" collapsed="false">
      <c r="D332" s="12" t="n">
        <v>329</v>
      </c>
      <c r="E332" s="13"/>
      <c r="F332" s="14" t="str">
        <f aca="false">IF(E332="","",$B$7*E332^2)</f>
        <v/>
      </c>
    </row>
    <row r="333" customFormat="false" ht="15" hidden="false" customHeight="false" outlineLevel="0" collapsed="false">
      <c r="D333" s="12" t="n">
        <v>330</v>
      </c>
      <c r="E333" s="13"/>
      <c r="F333" s="14" t="str">
        <f aca="false">IF(E333="","",$B$7*E333^2)</f>
        <v/>
      </c>
    </row>
    <row r="334" customFormat="false" ht="15" hidden="false" customHeight="false" outlineLevel="0" collapsed="false">
      <c r="D334" s="12" t="n">
        <v>331</v>
      </c>
      <c r="E334" s="13"/>
      <c r="F334" s="14" t="str">
        <f aca="false">IF(E334="","",$B$7*E334^2)</f>
        <v/>
      </c>
    </row>
    <row r="335" customFormat="false" ht="15" hidden="false" customHeight="false" outlineLevel="0" collapsed="false">
      <c r="D335" s="12" t="n">
        <v>332</v>
      </c>
      <c r="E335" s="13"/>
      <c r="F335" s="14" t="str">
        <f aca="false">IF(E335="","",$B$7*E335^2)</f>
        <v/>
      </c>
    </row>
    <row r="336" customFormat="false" ht="15" hidden="false" customHeight="false" outlineLevel="0" collapsed="false">
      <c r="D336" s="12" t="n">
        <v>333</v>
      </c>
      <c r="E336" s="13"/>
      <c r="F336" s="14" t="str">
        <f aca="false">IF(E336="","",$B$7*E336^2)</f>
        <v/>
      </c>
    </row>
    <row r="337" customFormat="false" ht="15" hidden="false" customHeight="false" outlineLevel="0" collapsed="false">
      <c r="D337" s="12" t="n">
        <v>334</v>
      </c>
      <c r="E337" s="13"/>
      <c r="F337" s="14" t="str">
        <f aca="false">IF(E337="","",$B$7*E337^2)</f>
        <v/>
      </c>
    </row>
    <row r="338" customFormat="false" ht="15" hidden="false" customHeight="false" outlineLevel="0" collapsed="false">
      <c r="D338" s="12" t="n">
        <v>335</v>
      </c>
      <c r="E338" s="13"/>
      <c r="F338" s="14" t="str">
        <f aca="false">IF(E338="","",$B$7*E338^2)</f>
        <v/>
      </c>
    </row>
    <row r="339" customFormat="false" ht="15" hidden="false" customHeight="false" outlineLevel="0" collapsed="false">
      <c r="D339" s="12" t="n">
        <v>336</v>
      </c>
      <c r="E339" s="13"/>
      <c r="F339" s="14" t="str">
        <f aca="false">IF(E339="","",$B$7*E339^2)</f>
        <v/>
      </c>
    </row>
    <row r="340" customFormat="false" ht="15" hidden="false" customHeight="false" outlineLevel="0" collapsed="false">
      <c r="D340" s="12" t="n">
        <v>337</v>
      </c>
      <c r="E340" s="13"/>
      <c r="F340" s="14" t="str">
        <f aca="false">IF(E340="","",$B$7*E340^2)</f>
        <v/>
      </c>
    </row>
    <row r="341" customFormat="false" ht="15" hidden="false" customHeight="false" outlineLevel="0" collapsed="false">
      <c r="D341" s="12" t="n">
        <v>338</v>
      </c>
      <c r="E341" s="13"/>
      <c r="F341" s="14" t="str">
        <f aca="false">IF(E341="","",$B$7*E341^2)</f>
        <v/>
      </c>
    </row>
    <row r="342" customFormat="false" ht="15" hidden="false" customHeight="false" outlineLevel="0" collapsed="false">
      <c r="D342" s="12" t="n">
        <v>339</v>
      </c>
      <c r="E342" s="13"/>
      <c r="F342" s="14" t="str">
        <f aca="false">IF(E342="","",$B$7*E342^2)</f>
        <v/>
      </c>
    </row>
    <row r="343" customFormat="false" ht="15" hidden="false" customHeight="false" outlineLevel="0" collapsed="false">
      <c r="D343" s="12" t="n">
        <v>340</v>
      </c>
      <c r="E343" s="13"/>
      <c r="F343" s="14" t="str">
        <f aca="false">IF(E343="","",$B$7*E343^2)</f>
        <v/>
      </c>
    </row>
    <row r="344" customFormat="false" ht="15" hidden="false" customHeight="false" outlineLevel="0" collapsed="false">
      <c r="D344" s="12" t="n">
        <v>341</v>
      </c>
      <c r="E344" s="13"/>
      <c r="F344" s="14" t="str">
        <f aca="false">IF(E344="","",$B$7*E344^2)</f>
        <v/>
      </c>
    </row>
    <row r="345" customFormat="false" ht="15" hidden="false" customHeight="false" outlineLevel="0" collapsed="false">
      <c r="D345" s="12" t="n">
        <v>342</v>
      </c>
      <c r="E345" s="13"/>
      <c r="F345" s="14" t="str">
        <f aca="false">IF(E345="","",$B$7*E345^2)</f>
        <v/>
      </c>
    </row>
    <row r="346" customFormat="false" ht="15" hidden="false" customHeight="false" outlineLevel="0" collapsed="false">
      <c r="D346" s="12" t="n">
        <v>343</v>
      </c>
      <c r="E346" s="13"/>
      <c r="F346" s="14" t="str">
        <f aca="false">IF(E346="","",$B$7*E346^2)</f>
        <v/>
      </c>
    </row>
    <row r="347" customFormat="false" ht="15" hidden="false" customHeight="false" outlineLevel="0" collapsed="false">
      <c r="D347" s="12" t="n">
        <v>344</v>
      </c>
      <c r="E347" s="13"/>
      <c r="F347" s="14" t="str">
        <f aca="false">IF(E347="","",$B$7*E347^2)</f>
        <v/>
      </c>
    </row>
    <row r="348" customFormat="false" ht="15" hidden="false" customHeight="false" outlineLevel="0" collapsed="false">
      <c r="D348" s="12" t="n">
        <v>345</v>
      </c>
      <c r="E348" s="13"/>
      <c r="F348" s="14" t="str">
        <f aca="false">IF(E348="","",$B$7*E348^2)</f>
        <v/>
      </c>
    </row>
    <row r="349" customFormat="false" ht="15" hidden="false" customHeight="false" outlineLevel="0" collapsed="false">
      <c r="D349" s="12" t="n">
        <v>346</v>
      </c>
      <c r="E349" s="13"/>
      <c r="F349" s="14" t="str">
        <f aca="false">IF(E349="","",$B$7*E349^2)</f>
        <v/>
      </c>
    </row>
    <row r="350" customFormat="false" ht="15" hidden="false" customHeight="false" outlineLevel="0" collapsed="false">
      <c r="D350" s="12" t="n">
        <v>347</v>
      </c>
      <c r="E350" s="13"/>
      <c r="F350" s="14" t="str">
        <f aca="false">IF(E350="","",$B$7*E350^2)</f>
        <v/>
      </c>
    </row>
    <row r="351" customFormat="false" ht="15" hidden="false" customHeight="false" outlineLevel="0" collapsed="false">
      <c r="D351" s="12" t="n">
        <v>348</v>
      </c>
      <c r="E351" s="13"/>
      <c r="F351" s="14" t="str">
        <f aca="false">IF(E351="","",$B$7*E351^2)</f>
        <v/>
      </c>
    </row>
    <row r="352" customFormat="false" ht="15" hidden="false" customHeight="false" outlineLevel="0" collapsed="false">
      <c r="D352" s="12" t="n">
        <v>349</v>
      </c>
      <c r="E352" s="13"/>
      <c r="F352" s="14" t="str">
        <f aca="false">IF(E352="","",$B$7*E352^2)</f>
        <v/>
      </c>
    </row>
    <row r="353" customFormat="false" ht="15" hidden="false" customHeight="false" outlineLevel="0" collapsed="false">
      <c r="D353" s="12" t="n">
        <v>350</v>
      </c>
      <c r="E353" s="13"/>
      <c r="F353" s="14" t="str">
        <f aca="false">IF(E353="","",$B$7*E353^2)</f>
        <v/>
      </c>
    </row>
    <row r="354" customFormat="false" ht="15" hidden="false" customHeight="false" outlineLevel="0" collapsed="false">
      <c r="D354" s="12" t="n">
        <v>351</v>
      </c>
      <c r="E354" s="13"/>
      <c r="F354" s="14" t="str">
        <f aca="false">IF(E354="","",$B$7*E354^2)</f>
        <v/>
      </c>
    </row>
    <row r="355" customFormat="false" ht="15" hidden="false" customHeight="false" outlineLevel="0" collapsed="false">
      <c r="D355" s="12" t="n">
        <v>352</v>
      </c>
      <c r="E355" s="13"/>
      <c r="F355" s="14" t="str">
        <f aca="false">IF(E355="","",$B$7*E355^2)</f>
        <v/>
      </c>
    </row>
    <row r="356" customFormat="false" ht="15" hidden="false" customHeight="false" outlineLevel="0" collapsed="false">
      <c r="D356" s="12" t="n">
        <v>353</v>
      </c>
      <c r="E356" s="13"/>
      <c r="F356" s="14" t="str">
        <f aca="false">IF(E356="","",$B$7*E356^2)</f>
        <v/>
      </c>
    </row>
    <row r="357" customFormat="false" ht="15" hidden="false" customHeight="false" outlineLevel="0" collapsed="false">
      <c r="D357" s="12" t="n">
        <v>354</v>
      </c>
      <c r="E357" s="13"/>
      <c r="F357" s="14" t="str">
        <f aca="false">IF(E357="","",$B$7*E357^2)</f>
        <v/>
      </c>
    </row>
    <row r="358" customFormat="false" ht="15" hidden="false" customHeight="false" outlineLevel="0" collapsed="false">
      <c r="D358" s="12" t="n">
        <v>355</v>
      </c>
      <c r="E358" s="13"/>
      <c r="F358" s="14" t="str">
        <f aca="false">IF(E358="","",$B$7*E358^2)</f>
        <v/>
      </c>
    </row>
    <row r="359" customFormat="false" ht="15" hidden="false" customHeight="false" outlineLevel="0" collapsed="false">
      <c r="D359" s="12" t="n">
        <v>356</v>
      </c>
      <c r="E359" s="13"/>
      <c r="F359" s="14" t="str">
        <f aca="false">IF(E359="","",$B$7*E359^2)</f>
        <v/>
      </c>
    </row>
    <row r="360" customFormat="false" ht="15" hidden="false" customHeight="false" outlineLevel="0" collapsed="false">
      <c r="D360" s="12" t="n">
        <v>357</v>
      </c>
      <c r="E360" s="13"/>
      <c r="F360" s="14" t="str">
        <f aca="false">IF(E360="","",$B$7*E360^2)</f>
        <v/>
      </c>
    </row>
    <row r="361" customFormat="false" ht="15" hidden="false" customHeight="false" outlineLevel="0" collapsed="false">
      <c r="D361" s="12" t="n">
        <v>358</v>
      </c>
      <c r="E361" s="13"/>
      <c r="F361" s="14" t="str">
        <f aca="false">IF(E361="","",$B$7*E361^2)</f>
        <v/>
      </c>
    </row>
    <row r="362" customFormat="false" ht="15" hidden="false" customHeight="false" outlineLevel="0" collapsed="false">
      <c r="D362" s="12" t="n">
        <v>359</v>
      </c>
      <c r="E362" s="13"/>
      <c r="F362" s="14" t="str">
        <f aca="false">IF(E362="","",$B$7*E362^2)</f>
        <v/>
      </c>
    </row>
    <row r="363" customFormat="false" ht="15" hidden="false" customHeight="false" outlineLevel="0" collapsed="false">
      <c r="D363" s="12" t="n">
        <v>360</v>
      </c>
      <c r="E363" s="13"/>
      <c r="F363" s="14" t="str">
        <f aca="false">IF(E363="","",$B$7*E363^2)</f>
        <v/>
      </c>
    </row>
    <row r="364" customFormat="false" ht="15" hidden="false" customHeight="false" outlineLevel="0" collapsed="false">
      <c r="D364" s="12" t="n">
        <v>361</v>
      </c>
      <c r="E364" s="13"/>
      <c r="F364" s="14" t="str">
        <f aca="false">IF(E364="","",$B$7*E364^2)</f>
        <v/>
      </c>
    </row>
    <row r="365" customFormat="false" ht="15" hidden="false" customHeight="false" outlineLevel="0" collapsed="false">
      <c r="D365" s="12" t="n">
        <v>362</v>
      </c>
      <c r="E365" s="13"/>
      <c r="F365" s="14" t="str">
        <f aca="false">IF(E365="","",$B$7*E365^2)</f>
        <v/>
      </c>
    </row>
    <row r="366" customFormat="false" ht="15" hidden="false" customHeight="false" outlineLevel="0" collapsed="false">
      <c r="D366" s="12" t="n">
        <v>363</v>
      </c>
      <c r="E366" s="13"/>
      <c r="F366" s="14" t="str">
        <f aca="false">IF(E366="","",$B$7*E366^2)</f>
        <v/>
      </c>
    </row>
    <row r="367" customFormat="false" ht="15" hidden="false" customHeight="false" outlineLevel="0" collapsed="false">
      <c r="D367" s="12" t="n">
        <v>364</v>
      </c>
      <c r="E367" s="13"/>
      <c r="F367" s="14" t="str">
        <f aca="false">IF(E367="","",$B$7*E367^2)</f>
        <v/>
      </c>
    </row>
    <row r="368" customFormat="false" ht="15" hidden="false" customHeight="false" outlineLevel="0" collapsed="false">
      <c r="D368" s="12" t="n">
        <v>365</v>
      </c>
      <c r="E368" s="13"/>
      <c r="F368" s="14" t="str">
        <f aca="false">IF(E368="","",$B$7*E368^2)</f>
        <v/>
      </c>
    </row>
    <row r="369" customFormat="false" ht="15" hidden="false" customHeight="false" outlineLevel="0" collapsed="false">
      <c r="D369" s="12" t="n">
        <v>366</v>
      </c>
      <c r="E369" s="13"/>
      <c r="F369" s="14" t="str">
        <f aca="false">IF(E369="","",$B$7*E369^2)</f>
        <v/>
      </c>
    </row>
    <row r="370" customFormat="false" ht="15" hidden="false" customHeight="false" outlineLevel="0" collapsed="false">
      <c r="D370" s="12" t="n">
        <v>367</v>
      </c>
      <c r="E370" s="13"/>
      <c r="F370" s="14" t="str">
        <f aca="false">IF(E370="","",$B$7*E370^2)</f>
        <v/>
      </c>
    </row>
    <row r="371" customFormat="false" ht="15" hidden="false" customHeight="false" outlineLevel="0" collapsed="false">
      <c r="D371" s="12" t="n">
        <v>368</v>
      </c>
      <c r="E371" s="13"/>
      <c r="F371" s="14" t="str">
        <f aca="false">IF(E371="","",$B$7*E371^2)</f>
        <v/>
      </c>
    </row>
    <row r="372" customFormat="false" ht="15" hidden="false" customHeight="false" outlineLevel="0" collapsed="false">
      <c r="D372" s="12" t="n">
        <v>369</v>
      </c>
      <c r="E372" s="13"/>
      <c r="F372" s="14" t="str">
        <f aca="false">IF(E372="","",$B$7*E372^2)</f>
        <v/>
      </c>
    </row>
    <row r="373" customFormat="false" ht="15" hidden="false" customHeight="false" outlineLevel="0" collapsed="false">
      <c r="D373" s="12" t="n">
        <v>370</v>
      </c>
      <c r="E373" s="13"/>
      <c r="F373" s="14" t="str">
        <f aca="false">IF(E373="","",$B$7*E373^2)</f>
        <v/>
      </c>
    </row>
    <row r="374" customFormat="false" ht="15" hidden="false" customHeight="false" outlineLevel="0" collapsed="false">
      <c r="D374" s="12" t="n">
        <v>371</v>
      </c>
      <c r="E374" s="13"/>
      <c r="F374" s="14" t="str">
        <f aca="false">IF(E374="","",$B$7*E374^2)</f>
        <v/>
      </c>
    </row>
    <row r="375" customFormat="false" ht="15" hidden="false" customHeight="false" outlineLevel="0" collapsed="false">
      <c r="D375" s="12" t="n">
        <v>372</v>
      </c>
      <c r="E375" s="13"/>
      <c r="F375" s="14" t="str">
        <f aca="false">IF(E375="","",$B$7*E375^2)</f>
        <v/>
      </c>
    </row>
    <row r="376" customFormat="false" ht="15" hidden="false" customHeight="false" outlineLevel="0" collapsed="false">
      <c r="D376" s="12" t="n">
        <v>373</v>
      </c>
      <c r="E376" s="13"/>
      <c r="F376" s="14" t="str">
        <f aca="false">IF(E376="","",$B$7*E376^2)</f>
        <v/>
      </c>
    </row>
    <row r="377" customFormat="false" ht="15" hidden="false" customHeight="false" outlineLevel="0" collapsed="false">
      <c r="D377" s="12" t="n">
        <v>374</v>
      </c>
      <c r="E377" s="13"/>
      <c r="F377" s="14" t="str">
        <f aca="false">IF(E377="","",$B$7*E377^2)</f>
        <v/>
      </c>
    </row>
    <row r="378" customFormat="false" ht="15" hidden="false" customHeight="false" outlineLevel="0" collapsed="false">
      <c r="D378" s="12" t="n">
        <v>375</v>
      </c>
      <c r="E378" s="13"/>
      <c r="F378" s="14" t="str">
        <f aca="false">IF(E378="","",$B$7*E378^2)</f>
        <v/>
      </c>
    </row>
    <row r="379" customFormat="false" ht="15" hidden="false" customHeight="false" outlineLevel="0" collapsed="false">
      <c r="D379" s="12" t="n">
        <v>376</v>
      </c>
      <c r="E379" s="13"/>
      <c r="F379" s="14" t="str">
        <f aca="false">IF(E379="","",$B$7*E379^2)</f>
        <v/>
      </c>
    </row>
    <row r="380" customFormat="false" ht="15" hidden="false" customHeight="false" outlineLevel="0" collapsed="false">
      <c r="D380" s="12" t="n">
        <v>377</v>
      </c>
      <c r="E380" s="13"/>
      <c r="F380" s="14" t="str">
        <f aca="false">IF(E380="","",$B$7*E380^2)</f>
        <v/>
      </c>
    </row>
    <row r="381" customFormat="false" ht="15" hidden="false" customHeight="false" outlineLevel="0" collapsed="false">
      <c r="D381" s="12" t="n">
        <v>378</v>
      </c>
      <c r="E381" s="13"/>
      <c r="F381" s="14" t="str">
        <f aca="false">IF(E381="","",$B$7*E381^2)</f>
        <v/>
      </c>
    </row>
    <row r="382" customFormat="false" ht="15" hidden="false" customHeight="false" outlineLevel="0" collapsed="false">
      <c r="D382" s="12" t="n">
        <v>379</v>
      </c>
      <c r="E382" s="13"/>
      <c r="F382" s="14" t="str">
        <f aca="false">IF(E382="","",$B$7*E382^2)</f>
        <v/>
      </c>
    </row>
    <row r="383" customFormat="false" ht="15" hidden="false" customHeight="false" outlineLevel="0" collapsed="false">
      <c r="D383" s="12" t="n">
        <v>380</v>
      </c>
      <c r="E383" s="13"/>
      <c r="F383" s="14" t="str">
        <f aca="false">IF(E383="","",$B$7*E383^2)</f>
        <v/>
      </c>
    </row>
    <row r="384" customFormat="false" ht="15" hidden="false" customHeight="false" outlineLevel="0" collapsed="false">
      <c r="D384" s="12" t="n">
        <v>381</v>
      </c>
      <c r="E384" s="13"/>
      <c r="F384" s="14" t="str">
        <f aca="false">IF(E384="","",$B$7*E384^2)</f>
        <v/>
      </c>
    </row>
    <row r="385" customFormat="false" ht="15" hidden="false" customHeight="false" outlineLevel="0" collapsed="false">
      <c r="D385" s="12" t="n">
        <v>382</v>
      </c>
      <c r="E385" s="13"/>
      <c r="F385" s="14" t="str">
        <f aca="false">IF(E385="","",$B$7*E385^2)</f>
        <v/>
      </c>
    </row>
    <row r="386" customFormat="false" ht="15" hidden="false" customHeight="false" outlineLevel="0" collapsed="false">
      <c r="D386" s="12" t="n">
        <v>383</v>
      </c>
      <c r="E386" s="13"/>
      <c r="F386" s="14" t="str">
        <f aca="false">IF(E386="","",$B$7*E386^2)</f>
        <v/>
      </c>
    </row>
    <row r="387" customFormat="false" ht="15" hidden="false" customHeight="false" outlineLevel="0" collapsed="false">
      <c r="D387" s="12" t="n">
        <v>384</v>
      </c>
      <c r="E387" s="13"/>
      <c r="F387" s="14" t="str">
        <f aca="false">IF(E387="","",$B$7*E387^2)</f>
        <v/>
      </c>
    </row>
    <row r="388" customFormat="false" ht="15" hidden="false" customHeight="false" outlineLevel="0" collapsed="false">
      <c r="D388" s="12" t="n">
        <v>385</v>
      </c>
      <c r="E388" s="13"/>
      <c r="F388" s="14" t="str">
        <f aca="false">IF(E388="","",$B$7*E388^2)</f>
        <v/>
      </c>
    </row>
    <row r="389" customFormat="false" ht="15" hidden="false" customHeight="false" outlineLevel="0" collapsed="false">
      <c r="D389" s="12" t="n">
        <v>386</v>
      </c>
      <c r="E389" s="13"/>
      <c r="F389" s="14" t="str">
        <f aca="false">IF(E389="","",$B$7*E389^2)</f>
        <v/>
      </c>
    </row>
    <row r="390" customFormat="false" ht="15" hidden="false" customHeight="false" outlineLevel="0" collapsed="false">
      <c r="D390" s="12" t="n">
        <v>387</v>
      </c>
      <c r="E390" s="13"/>
      <c r="F390" s="14" t="str">
        <f aca="false">IF(E390="","",$B$7*E390^2)</f>
        <v/>
      </c>
    </row>
    <row r="391" customFormat="false" ht="15" hidden="false" customHeight="false" outlineLevel="0" collapsed="false">
      <c r="D391" s="12" t="n">
        <v>388</v>
      </c>
      <c r="E391" s="13"/>
      <c r="F391" s="14" t="str">
        <f aca="false">IF(E391="","",$B$7*E391^2)</f>
        <v/>
      </c>
    </row>
    <row r="392" customFormat="false" ht="15" hidden="false" customHeight="false" outlineLevel="0" collapsed="false">
      <c r="D392" s="12" t="n">
        <v>389</v>
      </c>
      <c r="E392" s="13"/>
      <c r="F392" s="14" t="str">
        <f aca="false">IF(E392="","",$B$7*E392^2)</f>
        <v/>
      </c>
    </row>
    <row r="393" customFormat="false" ht="15" hidden="false" customHeight="false" outlineLevel="0" collapsed="false">
      <c r="D393" s="12" t="n">
        <v>390</v>
      </c>
      <c r="E393" s="13"/>
      <c r="F393" s="14" t="str">
        <f aca="false">IF(E393="","",$B$7*E393^2)</f>
        <v/>
      </c>
    </row>
    <row r="394" customFormat="false" ht="15" hidden="false" customHeight="false" outlineLevel="0" collapsed="false">
      <c r="D394" s="12" t="n">
        <v>391</v>
      </c>
      <c r="E394" s="13"/>
      <c r="F394" s="14" t="str">
        <f aca="false">IF(E394="","",$B$7*E394^2)</f>
        <v/>
      </c>
    </row>
    <row r="395" customFormat="false" ht="15" hidden="false" customHeight="false" outlineLevel="0" collapsed="false">
      <c r="D395" s="12" t="n">
        <v>392</v>
      </c>
      <c r="E395" s="13"/>
      <c r="F395" s="14" t="str">
        <f aca="false">IF(E395="","",$B$7*E395^2)</f>
        <v/>
      </c>
    </row>
    <row r="396" customFormat="false" ht="15" hidden="false" customHeight="false" outlineLevel="0" collapsed="false">
      <c r="D396" s="12" t="n">
        <v>393</v>
      </c>
      <c r="E396" s="13"/>
      <c r="F396" s="14" t="str">
        <f aca="false">IF(E396="","",$B$7*E396^2)</f>
        <v/>
      </c>
    </row>
    <row r="397" customFormat="false" ht="15" hidden="false" customHeight="false" outlineLevel="0" collapsed="false">
      <c r="D397" s="12" t="n">
        <v>394</v>
      </c>
      <c r="E397" s="13"/>
      <c r="F397" s="14" t="str">
        <f aca="false">IF(E397="","",$B$7*E397^2)</f>
        <v/>
      </c>
    </row>
    <row r="398" customFormat="false" ht="15" hidden="false" customHeight="false" outlineLevel="0" collapsed="false">
      <c r="D398" s="12" t="n">
        <v>395</v>
      </c>
      <c r="E398" s="13"/>
      <c r="F398" s="14" t="str">
        <f aca="false">IF(E398="","",$B$7*E398^2)</f>
        <v/>
      </c>
    </row>
    <row r="399" customFormat="false" ht="15" hidden="false" customHeight="false" outlineLevel="0" collapsed="false">
      <c r="D399" s="12" t="n">
        <v>396</v>
      </c>
      <c r="E399" s="13"/>
      <c r="F399" s="14" t="str">
        <f aca="false">IF(E399="","",$B$7*E399^2)</f>
        <v/>
      </c>
    </row>
    <row r="400" customFormat="false" ht="15" hidden="false" customHeight="false" outlineLevel="0" collapsed="false">
      <c r="D400" s="12" t="n">
        <v>397</v>
      </c>
      <c r="E400" s="13"/>
      <c r="F400" s="14" t="str">
        <f aca="false">IF(E400="","",$B$7*E400^2)</f>
        <v/>
      </c>
    </row>
    <row r="401" customFormat="false" ht="15" hidden="false" customHeight="false" outlineLevel="0" collapsed="false">
      <c r="D401" s="12" t="n">
        <v>398</v>
      </c>
      <c r="E401" s="13"/>
      <c r="F401" s="14" t="str">
        <f aca="false">IF(E401="","",$B$7*E401^2)</f>
        <v/>
      </c>
    </row>
    <row r="402" customFormat="false" ht="15" hidden="false" customHeight="false" outlineLevel="0" collapsed="false">
      <c r="D402" s="12" t="n">
        <v>399</v>
      </c>
      <c r="E402" s="13"/>
      <c r="F402" s="14" t="str">
        <f aca="false">IF(E402="","",$B$7*E402^2)</f>
        <v/>
      </c>
    </row>
    <row r="403" customFormat="false" ht="15" hidden="false" customHeight="false" outlineLevel="0" collapsed="false">
      <c r="D403" s="12" t="n">
        <v>400</v>
      </c>
      <c r="E403" s="13"/>
      <c r="F403" s="14" t="str">
        <f aca="false">IF(E403="","",$B$7*E403^2)</f>
        <v/>
      </c>
    </row>
    <row r="404" customFormat="false" ht="15" hidden="false" customHeight="false" outlineLevel="0" collapsed="false">
      <c r="D404" s="12" t="n">
        <v>401</v>
      </c>
      <c r="E404" s="13"/>
      <c r="F404" s="14" t="str">
        <f aca="false">IF(E404="","",$B$7*E404^2)</f>
        <v/>
      </c>
    </row>
    <row r="405" customFormat="false" ht="15" hidden="false" customHeight="false" outlineLevel="0" collapsed="false">
      <c r="D405" s="12" t="n">
        <v>402</v>
      </c>
      <c r="E405" s="13"/>
      <c r="F405" s="14" t="str">
        <f aca="false">IF(E405="","",$B$7*E405^2)</f>
        <v/>
      </c>
    </row>
    <row r="406" customFormat="false" ht="15" hidden="false" customHeight="false" outlineLevel="0" collapsed="false">
      <c r="D406" s="12" t="n">
        <v>403</v>
      </c>
      <c r="E406" s="13"/>
      <c r="F406" s="14" t="str">
        <f aca="false">IF(E406="","",$B$7*E406^2)</f>
        <v/>
      </c>
    </row>
    <row r="407" customFormat="false" ht="15" hidden="false" customHeight="false" outlineLevel="0" collapsed="false">
      <c r="D407" s="12" t="n">
        <v>404</v>
      </c>
      <c r="E407" s="13"/>
      <c r="F407" s="14" t="str">
        <f aca="false">IF(E407="","",$B$7*E407^2)</f>
        <v/>
      </c>
    </row>
    <row r="408" customFormat="false" ht="15" hidden="false" customHeight="false" outlineLevel="0" collapsed="false">
      <c r="D408" s="12" t="n">
        <v>405</v>
      </c>
      <c r="E408" s="13"/>
      <c r="F408" s="14" t="str">
        <f aca="false">IF(E408="","",$B$7*E408^2)</f>
        <v/>
      </c>
    </row>
    <row r="409" customFormat="false" ht="15" hidden="false" customHeight="false" outlineLevel="0" collapsed="false">
      <c r="D409" s="12" t="n">
        <v>406</v>
      </c>
      <c r="E409" s="13"/>
      <c r="F409" s="14" t="str">
        <f aca="false">IF(E409="","",$B$7*E409^2)</f>
        <v/>
      </c>
    </row>
    <row r="410" customFormat="false" ht="15" hidden="false" customHeight="false" outlineLevel="0" collapsed="false">
      <c r="D410" s="12" t="n">
        <v>407</v>
      </c>
      <c r="E410" s="13"/>
      <c r="F410" s="14" t="str">
        <f aca="false">IF(E410="","",$B$7*E410^2)</f>
        <v/>
      </c>
    </row>
    <row r="411" customFormat="false" ht="15" hidden="false" customHeight="false" outlineLevel="0" collapsed="false">
      <c r="D411" s="12" t="n">
        <v>408</v>
      </c>
      <c r="E411" s="13"/>
      <c r="F411" s="14" t="str">
        <f aca="false">IF(E411="","",$B$7*E411^2)</f>
        <v/>
      </c>
    </row>
    <row r="412" customFormat="false" ht="15" hidden="false" customHeight="false" outlineLevel="0" collapsed="false">
      <c r="D412" s="12" t="n">
        <v>409</v>
      </c>
      <c r="E412" s="13"/>
      <c r="F412" s="14" t="str">
        <f aca="false">IF(E412="","",$B$7*E412^2)</f>
        <v/>
      </c>
    </row>
    <row r="413" customFormat="false" ht="15" hidden="false" customHeight="false" outlineLevel="0" collapsed="false">
      <c r="D413" s="12" t="n">
        <v>410</v>
      </c>
      <c r="E413" s="13"/>
      <c r="F413" s="14" t="str">
        <f aca="false">IF(E413="","",$B$7*E413^2)</f>
        <v/>
      </c>
    </row>
    <row r="414" customFormat="false" ht="15" hidden="false" customHeight="false" outlineLevel="0" collapsed="false">
      <c r="D414" s="12" t="n">
        <v>411</v>
      </c>
      <c r="E414" s="13"/>
      <c r="F414" s="14" t="str">
        <f aca="false">IF(E414="","",$B$7*E414^2)</f>
        <v/>
      </c>
    </row>
    <row r="415" customFormat="false" ht="15" hidden="false" customHeight="false" outlineLevel="0" collapsed="false">
      <c r="D415" s="12" t="n">
        <v>412</v>
      </c>
      <c r="E415" s="13"/>
      <c r="F415" s="14" t="str">
        <f aca="false">IF(E415="","",$B$7*E415^2)</f>
        <v/>
      </c>
    </row>
    <row r="416" customFormat="false" ht="15" hidden="false" customHeight="false" outlineLevel="0" collapsed="false">
      <c r="D416" s="12" t="n">
        <v>413</v>
      </c>
      <c r="E416" s="13"/>
      <c r="F416" s="14" t="str">
        <f aca="false">IF(E416="","",$B$7*E416^2)</f>
        <v/>
      </c>
    </row>
    <row r="417" customFormat="false" ht="15" hidden="false" customHeight="false" outlineLevel="0" collapsed="false">
      <c r="D417" s="12" t="n">
        <v>414</v>
      </c>
      <c r="E417" s="13"/>
      <c r="F417" s="14" t="str">
        <f aca="false">IF(E417="","",$B$7*E417^2)</f>
        <v/>
      </c>
    </row>
    <row r="418" customFormat="false" ht="15" hidden="false" customHeight="false" outlineLevel="0" collapsed="false">
      <c r="D418" s="12" t="n">
        <v>415</v>
      </c>
      <c r="E418" s="13"/>
      <c r="F418" s="14" t="str">
        <f aca="false">IF(E418="","",$B$7*E418^2)</f>
        <v/>
      </c>
    </row>
    <row r="419" customFormat="false" ht="15" hidden="false" customHeight="false" outlineLevel="0" collapsed="false">
      <c r="D419" s="12" t="n">
        <v>416</v>
      </c>
      <c r="E419" s="13"/>
      <c r="F419" s="14" t="str">
        <f aca="false">IF(E419="","",$B$7*E419^2)</f>
        <v/>
      </c>
    </row>
    <row r="420" customFormat="false" ht="15" hidden="false" customHeight="false" outlineLevel="0" collapsed="false">
      <c r="D420" s="12" t="n">
        <v>417</v>
      </c>
      <c r="E420" s="13"/>
      <c r="F420" s="14" t="str">
        <f aca="false">IF(E420="","",$B$7*E420^2)</f>
        <v/>
      </c>
    </row>
    <row r="421" customFormat="false" ht="15" hidden="false" customHeight="false" outlineLevel="0" collapsed="false">
      <c r="D421" s="12" t="n">
        <v>418</v>
      </c>
      <c r="E421" s="13"/>
      <c r="F421" s="14" t="str">
        <f aca="false">IF(E421="","",$B$7*E421^2)</f>
        <v/>
      </c>
    </row>
    <row r="422" customFormat="false" ht="15" hidden="false" customHeight="false" outlineLevel="0" collapsed="false">
      <c r="D422" s="12" t="n">
        <v>419</v>
      </c>
      <c r="E422" s="13"/>
      <c r="F422" s="14" t="str">
        <f aca="false">IF(E422="","",$B$7*E422^2)</f>
        <v/>
      </c>
    </row>
    <row r="423" customFormat="false" ht="15" hidden="false" customHeight="false" outlineLevel="0" collapsed="false">
      <c r="D423" s="12" t="n">
        <v>420</v>
      </c>
      <c r="E423" s="13"/>
      <c r="F423" s="14" t="str">
        <f aca="false">IF(E423="","",$B$7*E423^2)</f>
        <v/>
      </c>
    </row>
    <row r="424" customFormat="false" ht="15" hidden="false" customHeight="false" outlineLevel="0" collapsed="false">
      <c r="D424" s="12" t="n">
        <v>421</v>
      </c>
      <c r="E424" s="13"/>
      <c r="F424" s="14" t="str">
        <f aca="false">IF(E424="","",$B$7*E424^2)</f>
        <v/>
      </c>
    </row>
    <row r="425" customFormat="false" ht="15" hidden="false" customHeight="false" outlineLevel="0" collapsed="false">
      <c r="D425" s="12" t="n">
        <v>422</v>
      </c>
      <c r="E425" s="13"/>
      <c r="F425" s="14" t="str">
        <f aca="false">IF(E425="","",$B$7*E425^2)</f>
        <v/>
      </c>
    </row>
    <row r="426" customFormat="false" ht="15" hidden="false" customHeight="false" outlineLevel="0" collapsed="false">
      <c r="D426" s="12" t="n">
        <v>423</v>
      </c>
      <c r="E426" s="13"/>
      <c r="F426" s="14" t="str">
        <f aca="false">IF(E426="","",$B$7*E426^2)</f>
        <v/>
      </c>
    </row>
    <row r="427" customFormat="false" ht="15" hidden="false" customHeight="false" outlineLevel="0" collapsed="false">
      <c r="D427" s="12" t="n">
        <v>424</v>
      </c>
      <c r="E427" s="13"/>
      <c r="F427" s="14" t="str">
        <f aca="false">IF(E427="","",$B$7*E427^2)</f>
        <v/>
      </c>
    </row>
    <row r="428" customFormat="false" ht="15" hidden="false" customHeight="false" outlineLevel="0" collapsed="false">
      <c r="D428" s="12" t="n">
        <v>425</v>
      </c>
      <c r="E428" s="13"/>
      <c r="F428" s="14" t="str">
        <f aca="false">IF(E428="","",$B$7*E428^2)</f>
        <v/>
      </c>
    </row>
    <row r="429" customFormat="false" ht="15" hidden="false" customHeight="false" outlineLevel="0" collapsed="false">
      <c r="D429" s="12" t="n">
        <v>426</v>
      </c>
      <c r="E429" s="13"/>
      <c r="F429" s="14" t="str">
        <f aca="false">IF(E429="","",$B$7*E429^2)</f>
        <v/>
      </c>
    </row>
    <row r="430" customFormat="false" ht="15" hidden="false" customHeight="false" outlineLevel="0" collapsed="false">
      <c r="D430" s="12" t="n">
        <v>427</v>
      </c>
      <c r="E430" s="13"/>
      <c r="F430" s="14" t="str">
        <f aca="false">IF(E430="","",$B$7*E430^2)</f>
        <v/>
      </c>
    </row>
    <row r="431" customFormat="false" ht="15" hidden="false" customHeight="false" outlineLevel="0" collapsed="false">
      <c r="D431" s="12" t="n">
        <v>428</v>
      </c>
      <c r="E431" s="13"/>
      <c r="F431" s="14" t="str">
        <f aca="false">IF(E431="","",$B$7*E431^2)</f>
        <v/>
      </c>
    </row>
    <row r="432" customFormat="false" ht="15" hidden="false" customHeight="false" outlineLevel="0" collapsed="false">
      <c r="D432" s="12" t="n">
        <v>429</v>
      </c>
      <c r="E432" s="13"/>
      <c r="F432" s="14" t="str">
        <f aca="false">IF(E432="","",$B$7*E432^2)</f>
        <v/>
      </c>
    </row>
    <row r="433" customFormat="false" ht="15" hidden="false" customHeight="false" outlineLevel="0" collapsed="false">
      <c r="D433" s="12" t="n">
        <v>430</v>
      </c>
      <c r="E433" s="13"/>
      <c r="F433" s="14" t="str">
        <f aca="false">IF(E433="","",$B$7*E433^2)</f>
        <v/>
      </c>
    </row>
    <row r="434" customFormat="false" ht="15" hidden="false" customHeight="false" outlineLevel="0" collapsed="false">
      <c r="D434" s="12" t="n">
        <v>431</v>
      </c>
      <c r="E434" s="13"/>
      <c r="F434" s="14" t="str">
        <f aca="false">IF(E434="","",$B$7*E434^2)</f>
        <v/>
      </c>
    </row>
    <row r="435" customFormat="false" ht="15" hidden="false" customHeight="false" outlineLevel="0" collapsed="false">
      <c r="D435" s="12" t="n">
        <v>432</v>
      </c>
      <c r="E435" s="13"/>
      <c r="F435" s="14" t="str">
        <f aca="false">IF(E435="","",$B$7*E435^2)</f>
        <v/>
      </c>
    </row>
    <row r="436" customFormat="false" ht="15" hidden="false" customHeight="false" outlineLevel="0" collapsed="false">
      <c r="D436" s="12" t="n">
        <v>433</v>
      </c>
      <c r="E436" s="13"/>
      <c r="F436" s="14" t="str">
        <f aca="false">IF(E436="","",$B$7*E436^2)</f>
        <v/>
      </c>
    </row>
    <row r="437" customFormat="false" ht="15" hidden="false" customHeight="false" outlineLevel="0" collapsed="false">
      <c r="D437" s="12" t="n">
        <v>434</v>
      </c>
      <c r="E437" s="13"/>
      <c r="F437" s="14" t="str">
        <f aca="false">IF(E437="","",$B$7*E437^2)</f>
        <v/>
      </c>
    </row>
    <row r="438" customFormat="false" ht="15" hidden="false" customHeight="false" outlineLevel="0" collapsed="false">
      <c r="D438" s="12" t="n">
        <v>435</v>
      </c>
      <c r="E438" s="13"/>
      <c r="F438" s="14" t="str">
        <f aca="false">IF(E438="","",$B$7*E438^2)</f>
        <v/>
      </c>
    </row>
    <row r="439" customFormat="false" ht="15" hidden="false" customHeight="false" outlineLevel="0" collapsed="false">
      <c r="D439" s="12" t="n">
        <v>436</v>
      </c>
      <c r="E439" s="13"/>
      <c r="F439" s="14" t="str">
        <f aca="false">IF(E439="","",$B$7*E439^2)</f>
        <v/>
      </c>
    </row>
    <row r="440" customFormat="false" ht="15" hidden="false" customHeight="false" outlineLevel="0" collapsed="false">
      <c r="D440" s="12" t="n">
        <v>437</v>
      </c>
      <c r="E440" s="13"/>
      <c r="F440" s="14" t="str">
        <f aca="false">IF(E440="","",$B$7*E440^2)</f>
        <v/>
      </c>
    </row>
    <row r="441" customFormat="false" ht="15" hidden="false" customHeight="false" outlineLevel="0" collapsed="false">
      <c r="D441" s="12" t="n">
        <v>438</v>
      </c>
      <c r="E441" s="13"/>
      <c r="F441" s="14" t="str">
        <f aca="false">IF(E441="","",$B$7*E441^2)</f>
        <v/>
      </c>
    </row>
    <row r="442" customFormat="false" ht="15" hidden="false" customHeight="false" outlineLevel="0" collapsed="false">
      <c r="D442" s="12" t="n">
        <v>439</v>
      </c>
      <c r="E442" s="13"/>
      <c r="F442" s="14" t="str">
        <f aca="false">IF(E442="","",$B$7*E442^2)</f>
        <v/>
      </c>
    </row>
    <row r="443" customFormat="false" ht="15" hidden="false" customHeight="false" outlineLevel="0" collapsed="false">
      <c r="D443" s="12" t="n">
        <v>440</v>
      </c>
      <c r="E443" s="13"/>
      <c r="F443" s="14" t="str">
        <f aca="false">IF(E443="","",$B$7*E443^2)</f>
        <v/>
      </c>
    </row>
    <row r="444" customFormat="false" ht="15" hidden="false" customHeight="false" outlineLevel="0" collapsed="false">
      <c r="D444" s="12" t="n">
        <v>441</v>
      </c>
      <c r="E444" s="13"/>
      <c r="F444" s="14" t="str">
        <f aca="false">IF(E444="","",$B$7*E444^2)</f>
        <v/>
      </c>
    </row>
    <row r="445" customFormat="false" ht="15" hidden="false" customHeight="false" outlineLevel="0" collapsed="false">
      <c r="D445" s="12" t="n">
        <v>442</v>
      </c>
      <c r="E445" s="13"/>
      <c r="F445" s="14" t="str">
        <f aca="false">IF(E445="","",$B$7*E445^2)</f>
        <v/>
      </c>
    </row>
    <row r="446" customFormat="false" ht="15" hidden="false" customHeight="false" outlineLevel="0" collapsed="false">
      <c r="D446" s="12" t="n">
        <v>443</v>
      </c>
      <c r="E446" s="13"/>
      <c r="F446" s="14" t="str">
        <f aca="false">IF(E446="","",$B$7*E446^2)</f>
        <v/>
      </c>
    </row>
    <row r="447" customFormat="false" ht="15" hidden="false" customHeight="false" outlineLevel="0" collapsed="false">
      <c r="D447" s="12" t="n">
        <v>444</v>
      </c>
      <c r="E447" s="13"/>
      <c r="F447" s="14" t="str">
        <f aca="false">IF(E447="","",$B$7*E447^2)</f>
        <v/>
      </c>
    </row>
    <row r="448" customFormat="false" ht="15" hidden="false" customHeight="false" outlineLevel="0" collapsed="false">
      <c r="D448" s="12" t="n">
        <v>445</v>
      </c>
      <c r="E448" s="13"/>
      <c r="F448" s="14" t="str">
        <f aca="false">IF(E448="","",$B$7*E448^2)</f>
        <v/>
      </c>
    </row>
    <row r="449" customFormat="false" ht="15" hidden="false" customHeight="false" outlineLevel="0" collapsed="false">
      <c r="D449" s="12" t="n">
        <v>446</v>
      </c>
      <c r="E449" s="13"/>
      <c r="F449" s="14" t="str">
        <f aca="false">IF(E449="","",$B$7*E449^2)</f>
        <v/>
      </c>
    </row>
    <row r="450" customFormat="false" ht="15" hidden="false" customHeight="false" outlineLevel="0" collapsed="false">
      <c r="D450" s="12" t="n">
        <v>447</v>
      </c>
      <c r="E450" s="13"/>
      <c r="F450" s="14" t="str">
        <f aca="false">IF(E450="","",$B$7*E450^2)</f>
        <v/>
      </c>
    </row>
    <row r="451" customFormat="false" ht="15" hidden="false" customHeight="false" outlineLevel="0" collapsed="false">
      <c r="D451" s="12" t="n">
        <v>448</v>
      </c>
      <c r="E451" s="13"/>
      <c r="F451" s="14" t="str">
        <f aca="false">IF(E451="","",$B$7*E451^2)</f>
        <v/>
      </c>
    </row>
    <row r="452" customFormat="false" ht="15" hidden="false" customHeight="false" outlineLevel="0" collapsed="false">
      <c r="D452" s="12" t="n">
        <v>449</v>
      </c>
      <c r="E452" s="13"/>
      <c r="F452" s="14" t="str">
        <f aca="false">IF(E452="","",$B$7*E452^2)</f>
        <v/>
      </c>
    </row>
    <row r="453" customFormat="false" ht="15" hidden="false" customHeight="false" outlineLevel="0" collapsed="false">
      <c r="D453" s="12" t="n">
        <v>450</v>
      </c>
      <c r="E453" s="13"/>
      <c r="F453" s="14" t="str">
        <f aca="false">IF(E453="","",$B$7*E453^2)</f>
        <v/>
      </c>
    </row>
    <row r="454" customFormat="false" ht="15" hidden="false" customHeight="false" outlineLevel="0" collapsed="false">
      <c r="D454" s="12" t="n">
        <v>451</v>
      </c>
      <c r="E454" s="13"/>
      <c r="F454" s="14" t="str">
        <f aca="false">IF(E454="","",$B$7*E454^2)</f>
        <v/>
      </c>
    </row>
    <row r="455" customFormat="false" ht="15" hidden="false" customHeight="false" outlineLevel="0" collapsed="false">
      <c r="D455" s="12" t="n">
        <v>452</v>
      </c>
      <c r="E455" s="13"/>
      <c r="F455" s="14" t="str">
        <f aca="false">IF(E455="","",$B$7*E455^2)</f>
        <v/>
      </c>
    </row>
    <row r="456" customFormat="false" ht="15" hidden="false" customHeight="false" outlineLevel="0" collapsed="false">
      <c r="D456" s="12" t="n">
        <v>453</v>
      </c>
      <c r="E456" s="13"/>
      <c r="F456" s="14" t="str">
        <f aca="false">IF(E456="","",$B$7*E456^2)</f>
        <v/>
      </c>
    </row>
    <row r="457" customFormat="false" ht="15" hidden="false" customHeight="false" outlineLevel="0" collapsed="false">
      <c r="D457" s="12" t="n">
        <v>454</v>
      </c>
      <c r="E457" s="13"/>
      <c r="F457" s="14" t="str">
        <f aca="false">IF(E457="","",$B$7*E457^2)</f>
        <v/>
      </c>
    </row>
    <row r="458" customFormat="false" ht="15" hidden="false" customHeight="false" outlineLevel="0" collapsed="false">
      <c r="D458" s="12" t="n">
        <v>455</v>
      </c>
      <c r="E458" s="13"/>
      <c r="F458" s="14" t="str">
        <f aca="false">IF(E458="","",$B$7*E458^2)</f>
        <v/>
      </c>
    </row>
    <row r="459" customFormat="false" ht="15" hidden="false" customHeight="false" outlineLevel="0" collapsed="false">
      <c r="D459" s="12" t="n">
        <v>456</v>
      </c>
      <c r="E459" s="13"/>
      <c r="F459" s="14" t="str">
        <f aca="false">IF(E459="","",$B$7*E459^2)</f>
        <v/>
      </c>
    </row>
    <row r="460" customFormat="false" ht="15" hidden="false" customHeight="false" outlineLevel="0" collapsed="false">
      <c r="D460" s="12" t="n">
        <v>457</v>
      </c>
      <c r="E460" s="13"/>
      <c r="F460" s="14" t="str">
        <f aca="false">IF(E460="","",$B$7*E460^2)</f>
        <v/>
      </c>
    </row>
    <row r="461" customFormat="false" ht="15" hidden="false" customHeight="false" outlineLevel="0" collapsed="false">
      <c r="D461" s="12" t="n">
        <v>458</v>
      </c>
      <c r="E461" s="13"/>
      <c r="F461" s="14" t="str">
        <f aca="false">IF(E461="","",$B$7*E461^2)</f>
        <v/>
      </c>
    </row>
    <row r="462" customFormat="false" ht="15" hidden="false" customHeight="false" outlineLevel="0" collapsed="false">
      <c r="D462" s="12" t="n">
        <v>459</v>
      </c>
      <c r="E462" s="13"/>
      <c r="F462" s="14" t="str">
        <f aca="false">IF(E462="","",$B$7*E462^2)</f>
        <v/>
      </c>
    </row>
    <row r="463" customFormat="false" ht="15" hidden="false" customHeight="false" outlineLevel="0" collapsed="false">
      <c r="D463" s="12" t="n">
        <v>460</v>
      </c>
      <c r="E463" s="13"/>
      <c r="F463" s="14" t="str">
        <f aca="false">IF(E463="","",$B$7*E463^2)</f>
        <v/>
      </c>
    </row>
    <row r="464" customFormat="false" ht="15" hidden="false" customHeight="false" outlineLevel="0" collapsed="false">
      <c r="D464" s="12" t="n">
        <v>461</v>
      </c>
      <c r="E464" s="13"/>
      <c r="F464" s="14" t="str">
        <f aca="false">IF(E464="","",$B$7*E464^2)</f>
        <v/>
      </c>
    </row>
    <row r="465" customFormat="false" ht="15" hidden="false" customHeight="false" outlineLevel="0" collapsed="false">
      <c r="D465" s="12" t="n">
        <v>462</v>
      </c>
      <c r="E465" s="13"/>
      <c r="F465" s="14" t="str">
        <f aca="false">IF(E465="","",$B$7*E465^2)</f>
        <v/>
      </c>
    </row>
    <row r="466" customFormat="false" ht="15" hidden="false" customHeight="false" outlineLevel="0" collapsed="false">
      <c r="D466" s="12" t="n">
        <v>463</v>
      </c>
      <c r="E466" s="13"/>
      <c r="F466" s="14" t="str">
        <f aca="false">IF(E466="","",$B$7*E466^2)</f>
        <v/>
      </c>
    </row>
    <row r="467" customFormat="false" ht="15" hidden="false" customHeight="false" outlineLevel="0" collapsed="false">
      <c r="D467" s="12" t="n">
        <v>464</v>
      </c>
      <c r="E467" s="13"/>
      <c r="F467" s="14" t="str">
        <f aca="false">IF(E467="","",$B$7*E467^2)</f>
        <v/>
      </c>
    </row>
    <row r="468" customFormat="false" ht="15" hidden="false" customHeight="false" outlineLevel="0" collapsed="false">
      <c r="D468" s="12" t="n">
        <v>465</v>
      </c>
      <c r="E468" s="13"/>
      <c r="F468" s="14" t="str">
        <f aca="false">IF(E468="","",$B$7*E468^2)</f>
        <v/>
      </c>
    </row>
    <row r="469" customFormat="false" ht="15" hidden="false" customHeight="false" outlineLevel="0" collapsed="false">
      <c r="D469" s="12" t="n">
        <v>466</v>
      </c>
      <c r="E469" s="13"/>
      <c r="F469" s="14" t="str">
        <f aca="false">IF(E469="","",$B$7*E469^2)</f>
        <v/>
      </c>
    </row>
    <row r="470" customFormat="false" ht="15" hidden="false" customHeight="false" outlineLevel="0" collapsed="false">
      <c r="D470" s="12" t="n">
        <v>467</v>
      </c>
      <c r="E470" s="13"/>
      <c r="F470" s="14" t="str">
        <f aca="false">IF(E470="","",$B$7*E470^2)</f>
        <v/>
      </c>
    </row>
    <row r="471" customFormat="false" ht="15" hidden="false" customHeight="false" outlineLevel="0" collapsed="false">
      <c r="D471" s="12" t="n">
        <v>468</v>
      </c>
      <c r="E471" s="13"/>
      <c r="F471" s="14" t="str">
        <f aca="false">IF(E471="","",$B$7*E471^2)</f>
        <v/>
      </c>
    </row>
    <row r="472" customFormat="false" ht="15" hidden="false" customHeight="false" outlineLevel="0" collapsed="false">
      <c r="D472" s="12" t="n">
        <v>469</v>
      </c>
      <c r="E472" s="13"/>
      <c r="F472" s="14" t="str">
        <f aca="false">IF(E472="","",$B$7*E472^2)</f>
        <v/>
      </c>
    </row>
    <row r="473" customFormat="false" ht="15" hidden="false" customHeight="false" outlineLevel="0" collapsed="false">
      <c r="D473" s="12" t="n">
        <v>470</v>
      </c>
      <c r="E473" s="13"/>
      <c r="F473" s="14" t="str">
        <f aca="false">IF(E473="","",$B$7*E473^2)</f>
        <v/>
      </c>
    </row>
    <row r="474" customFormat="false" ht="15" hidden="false" customHeight="false" outlineLevel="0" collapsed="false">
      <c r="D474" s="12" t="n">
        <v>471</v>
      </c>
      <c r="E474" s="13"/>
      <c r="F474" s="14" t="str">
        <f aca="false">IF(E474="","",$B$7*E474^2)</f>
        <v/>
      </c>
    </row>
    <row r="475" customFormat="false" ht="15" hidden="false" customHeight="false" outlineLevel="0" collapsed="false">
      <c r="D475" s="12" t="n">
        <v>472</v>
      </c>
      <c r="E475" s="13"/>
      <c r="F475" s="14" t="str">
        <f aca="false">IF(E475="","",$B$7*E475^2)</f>
        <v/>
      </c>
    </row>
    <row r="476" customFormat="false" ht="15" hidden="false" customHeight="false" outlineLevel="0" collapsed="false">
      <c r="D476" s="12" t="n">
        <v>473</v>
      </c>
      <c r="E476" s="13"/>
      <c r="F476" s="14" t="str">
        <f aca="false">IF(E476="","",$B$7*E476^2)</f>
        <v/>
      </c>
    </row>
    <row r="477" customFormat="false" ht="15" hidden="false" customHeight="false" outlineLevel="0" collapsed="false">
      <c r="D477" s="12" t="n">
        <v>474</v>
      </c>
      <c r="E477" s="13"/>
      <c r="F477" s="14" t="str">
        <f aca="false">IF(E477="","",$B$7*E477^2)</f>
        <v/>
      </c>
    </row>
    <row r="478" customFormat="false" ht="15" hidden="false" customHeight="false" outlineLevel="0" collapsed="false">
      <c r="D478" s="12" t="n">
        <v>475</v>
      </c>
      <c r="E478" s="13"/>
      <c r="F478" s="14" t="str">
        <f aca="false">IF(E478="","",$B$7*E478^2)</f>
        <v/>
      </c>
    </row>
    <row r="479" customFormat="false" ht="15" hidden="false" customHeight="false" outlineLevel="0" collapsed="false">
      <c r="D479" s="12" t="n">
        <v>476</v>
      </c>
      <c r="E479" s="13"/>
      <c r="F479" s="14" t="str">
        <f aca="false">IF(E479="","",$B$7*E479^2)</f>
        <v/>
      </c>
    </row>
    <row r="480" customFormat="false" ht="15" hidden="false" customHeight="false" outlineLevel="0" collapsed="false">
      <c r="D480" s="12" t="n">
        <v>477</v>
      </c>
      <c r="E480" s="13"/>
      <c r="F480" s="14" t="str">
        <f aca="false">IF(E480="","",$B$7*E480^2)</f>
        <v/>
      </c>
    </row>
    <row r="481" customFormat="false" ht="15" hidden="false" customHeight="false" outlineLevel="0" collapsed="false">
      <c r="D481" s="12" t="n">
        <v>478</v>
      </c>
      <c r="E481" s="13"/>
      <c r="F481" s="14" t="str">
        <f aca="false">IF(E481="","",$B$7*E481^2)</f>
        <v/>
      </c>
    </row>
    <row r="482" customFormat="false" ht="15" hidden="false" customHeight="false" outlineLevel="0" collapsed="false">
      <c r="D482" s="12" t="n">
        <v>479</v>
      </c>
      <c r="E482" s="13"/>
      <c r="F482" s="14" t="str">
        <f aca="false">IF(E482="","",$B$7*E482^2)</f>
        <v/>
      </c>
    </row>
    <row r="483" customFormat="false" ht="15" hidden="false" customHeight="false" outlineLevel="0" collapsed="false">
      <c r="D483" s="12" t="n">
        <v>480</v>
      </c>
      <c r="E483" s="13"/>
      <c r="F483" s="14" t="str">
        <f aca="false">IF(E483="","",$B$7*E483^2)</f>
        <v/>
      </c>
    </row>
    <row r="484" customFormat="false" ht="15" hidden="false" customHeight="false" outlineLevel="0" collapsed="false">
      <c r="D484" s="12" t="n">
        <v>481</v>
      </c>
      <c r="E484" s="13"/>
      <c r="F484" s="14" t="str">
        <f aca="false">IF(E484="","",$B$7*E484^2)</f>
        <v/>
      </c>
    </row>
    <row r="485" customFormat="false" ht="15" hidden="false" customHeight="false" outlineLevel="0" collapsed="false">
      <c r="D485" s="12" t="n">
        <v>482</v>
      </c>
      <c r="E485" s="13"/>
      <c r="F485" s="14" t="str">
        <f aca="false">IF(E485="","",$B$7*E485^2)</f>
        <v/>
      </c>
    </row>
    <row r="486" customFormat="false" ht="15" hidden="false" customHeight="false" outlineLevel="0" collapsed="false">
      <c r="D486" s="12" t="n">
        <v>483</v>
      </c>
      <c r="E486" s="13"/>
      <c r="F486" s="14" t="str">
        <f aca="false">IF(E486="","",$B$7*E486^2)</f>
        <v/>
      </c>
    </row>
    <row r="487" customFormat="false" ht="15" hidden="false" customHeight="false" outlineLevel="0" collapsed="false">
      <c r="D487" s="12" t="n">
        <v>484</v>
      </c>
      <c r="E487" s="13"/>
      <c r="F487" s="14" t="str">
        <f aca="false">IF(E487="","",$B$7*E487^2)</f>
        <v/>
      </c>
    </row>
    <row r="488" customFormat="false" ht="15" hidden="false" customHeight="false" outlineLevel="0" collapsed="false">
      <c r="D488" s="12" t="n">
        <v>485</v>
      </c>
      <c r="E488" s="13"/>
      <c r="F488" s="14" t="str">
        <f aca="false">IF(E488="","",$B$7*E488^2)</f>
        <v/>
      </c>
    </row>
    <row r="489" customFormat="false" ht="15" hidden="false" customHeight="false" outlineLevel="0" collapsed="false">
      <c r="D489" s="12" t="n">
        <v>486</v>
      </c>
      <c r="E489" s="13"/>
      <c r="F489" s="14" t="str">
        <f aca="false">IF(E489="","",$B$7*E489^2)</f>
        <v/>
      </c>
    </row>
    <row r="490" customFormat="false" ht="15" hidden="false" customHeight="false" outlineLevel="0" collapsed="false">
      <c r="D490" s="12" t="n">
        <v>487</v>
      </c>
      <c r="E490" s="13"/>
      <c r="F490" s="14" t="str">
        <f aca="false">IF(E490="","",$B$7*E490^2)</f>
        <v/>
      </c>
    </row>
    <row r="491" customFormat="false" ht="15" hidden="false" customHeight="false" outlineLevel="0" collapsed="false">
      <c r="D491" s="12" t="n">
        <v>488</v>
      </c>
      <c r="E491" s="13"/>
      <c r="F491" s="14" t="str">
        <f aca="false">IF(E491="","",$B$7*E491^2)</f>
        <v/>
      </c>
    </row>
    <row r="492" customFormat="false" ht="15" hidden="false" customHeight="false" outlineLevel="0" collapsed="false">
      <c r="D492" s="12" t="n">
        <v>489</v>
      </c>
      <c r="E492" s="13"/>
      <c r="F492" s="14" t="str">
        <f aca="false">IF(E492="","",$B$7*E492^2)</f>
        <v/>
      </c>
    </row>
    <row r="493" customFormat="false" ht="15" hidden="false" customHeight="false" outlineLevel="0" collapsed="false">
      <c r="D493" s="12" t="n">
        <v>490</v>
      </c>
      <c r="E493" s="13"/>
      <c r="F493" s="14" t="str">
        <f aca="false">IF(E493="","",$B$7*E493^2)</f>
        <v/>
      </c>
    </row>
    <row r="494" customFormat="false" ht="15" hidden="false" customHeight="false" outlineLevel="0" collapsed="false">
      <c r="D494" s="12" t="n">
        <v>491</v>
      </c>
      <c r="E494" s="13"/>
      <c r="F494" s="14" t="str">
        <f aca="false">IF(E494="","",$B$7*E494^2)</f>
        <v/>
      </c>
    </row>
    <row r="495" customFormat="false" ht="15" hidden="false" customHeight="false" outlineLevel="0" collapsed="false">
      <c r="D495" s="12" t="n">
        <v>492</v>
      </c>
      <c r="E495" s="13"/>
      <c r="F495" s="14" t="str">
        <f aca="false">IF(E495="","",$B$7*E495^2)</f>
        <v/>
      </c>
    </row>
    <row r="496" customFormat="false" ht="15" hidden="false" customHeight="false" outlineLevel="0" collapsed="false">
      <c r="D496" s="12" t="n">
        <v>493</v>
      </c>
      <c r="E496" s="13"/>
      <c r="F496" s="14" t="str">
        <f aca="false">IF(E496="","",$B$7*E496^2)</f>
        <v/>
      </c>
    </row>
    <row r="497" customFormat="false" ht="15" hidden="false" customHeight="false" outlineLevel="0" collapsed="false">
      <c r="D497" s="12" t="n">
        <v>494</v>
      </c>
      <c r="E497" s="13"/>
      <c r="F497" s="14" t="str">
        <f aca="false">IF(E497="","",$B$7*E497^2)</f>
        <v/>
      </c>
    </row>
    <row r="498" customFormat="false" ht="15" hidden="false" customHeight="false" outlineLevel="0" collapsed="false">
      <c r="D498" s="12" t="n">
        <v>495</v>
      </c>
      <c r="E498" s="13"/>
      <c r="F498" s="14" t="str">
        <f aca="false">IF(E498="","",$B$7*E498^2)</f>
        <v/>
      </c>
    </row>
    <row r="499" customFormat="false" ht="15" hidden="false" customHeight="false" outlineLevel="0" collapsed="false">
      <c r="D499" s="12" t="n">
        <v>496</v>
      </c>
      <c r="E499" s="13"/>
      <c r="F499" s="14" t="str">
        <f aca="false">IF(E499="","",$B$7*E499^2)</f>
        <v/>
      </c>
    </row>
    <row r="500" customFormat="false" ht="15" hidden="false" customHeight="false" outlineLevel="0" collapsed="false">
      <c r="D500" s="12" t="n">
        <v>497</v>
      </c>
      <c r="E500" s="13"/>
      <c r="F500" s="14" t="str">
        <f aca="false">IF(E500="","",$B$7*E500^2)</f>
        <v/>
      </c>
    </row>
    <row r="501" customFormat="false" ht="15" hidden="false" customHeight="false" outlineLevel="0" collapsed="false">
      <c r="D501" s="12" t="n">
        <v>498</v>
      </c>
      <c r="E501" s="13"/>
      <c r="F501" s="14" t="str">
        <f aca="false">IF(E501="","",$B$7*E501^2)</f>
        <v/>
      </c>
    </row>
    <row r="502" customFormat="false" ht="15" hidden="false" customHeight="false" outlineLevel="0" collapsed="false">
      <c r="D502" s="12" t="n">
        <v>499</v>
      </c>
      <c r="E502" s="13"/>
      <c r="F502" s="14" t="str">
        <f aca="false">IF(E502="","",$B$7*E502^2)</f>
        <v/>
      </c>
    </row>
    <row r="503" customFormat="false" ht="15" hidden="false" customHeight="false" outlineLevel="0" collapsed="false">
      <c r="D503" s="12" t="n">
        <v>500</v>
      </c>
      <c r="E503" s="13"/>
      <c r="F503" s="14" t="str">
        <f aca="false">IF(E503="","",$B$7*E503^2)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2026-10-29T14:30:11Z</dcterms:created>
  <dc:creator>openpyxl</dc:creator>
  <dc:description/>
  <dc:language>en-US</dc:language>
  <cp:lastModifiedBy/>
  <dcterms:modified xsi:type="dcterms:W3CDTF">2026-10-29T10:30:12Z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